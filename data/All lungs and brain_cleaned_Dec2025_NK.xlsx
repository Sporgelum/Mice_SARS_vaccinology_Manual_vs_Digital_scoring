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marius_botos_unibe_ch/Documents/Nedim/2026/data/"/>
    </mc:Choice>
  </mc:AlternateContent>
  <xr:revisionPtr revIDLastSave="64" documentId="13_ncr:1_{4620E14E-0D55-4406-876F-ACDAAD386DB8}" xr6:coauthVersionLast="47" xr6:coauthVersionMax="47" xr10:uidLastSave="{892251C6-FC3A-4F89-B2A7-7D11B5DD3C37}"/>
  <bookViews>
    <workbookView minimized="1" xWindow="12240" yWindow="630" windowWidth="24345" windowHeight="15570" firstSheet="1" activeTab="1" xr2:uid="{DCCBD89E-2D43-412B-9691-7E9CC62F784F}"/>
  </bookViews>
  <sheets>
    <sheet name="478 lungs" sheetId="1" r:id="rId1"/>
    <sheet name="lungs to plot" sheetId="7" r:id="rId2"/>
    <sheet name="Slides with more than 1 lung" sheetId="2" r:id="rId3"/>
    <sheet name="Brain Digital" sheetId="5" r:id="rId4"/>
    <sheet name="Brain Available Lab data" sheetId="6" r:id="rId5"/>
    <sheet name="Brain to plot" sheetId="8" r:id="rId6"/>
  </sheets>
  <definedNames>
    <definedName name="_xlnm._FilterDatabase" localSheetId="0" hidden="1">'478 lungs'!$A$1:$W$291</definedName>
    <definedName name="_xlnm._FilterDatabase" localSheetId="3" hidden="1">'Brain Digital'!$A$1:$AG$135</definedName>
    <definedName name="_xlnm._FilterDatabase" localSheetId="5" hidden="1">'Brain to plot'!$A$1:$AP$113</definedName>
    <definedName name="_xlnm._FilterDatabase" localSheetId="1" hidden="1">'lungs to plot'!$A$1:$AA$249</definedName>
    <definedName name="PRODUK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6" i="8"/>
  <c r="AB7" i="8"/>
  <c r="AB8" i="8"/>
  <c r="AB9" i="8"/>
  <c r="AB10" i="8"/>
  <c r="AB11" i="8"/>
  <c r="AB12" i="8"/>
  <c r="AB13" i="8"/>
  <c r="AB14" i="8"/>
  <c r="AB16" i="8"/>
  <c r="AB20" i="8"/>
  <c r="AB21" i="8"/>
  <c r="AB25" i="8"/>
  <c r="AB26" i="8"/>
  <c r="AB28" i="8"/>
  <c r="AB32" i="8"/>
  <c r="AB37" i="8"/>
  <c r="AB38" i="8"/>
  <c r="AB39" i="8"/>
  <c r="AB40" i="8"/>
  <c r="AB41" i="8"/>
  <c r="AB42" i="8"/>
  <c r="AB43" i="8"/>
  <c r="AB44" i="8"/>
  <c r="AB45" i="8"/>
  <c r="AB46" i="8"/>
  <c r="AB47" i="8"/>
  <c r="AB49" i="8"/>
  <c r="AB50" i="8"/>
  <c r="AB51" i="8"/>
  <c r="AB52" i="8"/>
  <c r="AB53" i="8"/>
  <c r="AB63" i="8"/>
  <c r="AB64" i="8"/>
  <c r="AB65" i="8"/>
  <c r="AB67" i="8"/>
  <c r="AB68" i="8"/>
  <c r="AB69" i="8"/>
  <c r="AB70" i="8"/>
  <c r="AB71" i="8"/>
  <c r="AB72" i="8"/>
  <c r="AB73" i="8"/>
  <c r="AB90" i="8"/>
  <c r="AB91" i="8"/>
  <c r="AB92" i="8"/>
  <c r="AB100" i="8"/>
  <c r="AB101" i="8"/>
  <c r="AB104" i="8"/>
  <c r="AB105" i="8"/>
  <c r="AB106" i="8"/>
  <c r="AB107" i="8"/>
  <c r="AB109" i="8"/>
  <c r="AB110" i="8"/>
  <c r="AB111" i="8"/>
  <c r="AB112" i="8"/>
  <c r="AB113" i="8"/>
  <c r="AP2" i="8"/>
  <c r="AP3" i="8"/>
  <c r="AP4" i="8"/>
  <c r="AP5" i="8"/>
  <c r="AP6" i="8"/>
  <c r="AP7" i="8"/>
  <c r="AP8" i="8"/>
  <c r="AP9" i="8"/>
  <c r="AP10" i="8"/>
  <c r="AP11" i="8"/>
  <c r="AP12" i="8"/>
  <c r="AP13" i="8"/>
  <c r="AP14" i="8"/>
  <c r="AP15" i="8"/>
  <c r="AP16" i="8"/>
  <c r="AP17" i="8"/>
  <c r="AP18" i="8"/>
  <c r="AP19" i="8"/>
  <c r="AP20" i="8"/>
  <c r="AP21" i="8"/>
  <c r="AP22" i="8"/>
  <c r="AP23" i="8"/>
  <c r="AP24" i="8"/>
  <c r="AP25" i="8"/>
  <c r="AP26" i="8"/>
  <c r="AP27" i="8"/>
  <c r="AP28" i="8"/>
  <c r="AP29" i="8"/>
  <c r="AP30" i="8"/>
  <c r="AP31" i="8"/>
  <c r="AP32" i="8"/>
  <c r="AP33" i="8"/>
  <c r="AP34" i="8"/>
  <c r="AP35" i="8"/>
  <c r="AP36" i="8"/>
  <c r="AP37" i="8"/>
  <c r="AP38" i="8"/>
  <c r="AP39" i="8"/>
  <c r="AP40" i="8"/>
  <c r="AP41" i="8"/>
  <c r="AP42" i="8"/>
  <c r="AP43" i="8"/>
  <c r="AP44" i="8"/>
  <c r="AP45" i="8"/>
  <c r="AP4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P71" i="8"/>
  <c r="AP72" i="8"/>
  <c r="AP73" i="8"/>
  <c r="AP74" i="8"/>
  <c r="AP75" i="8"/>
  <c r="AP76" i="8"/>
  <c r="AP77" i="8"/>
  <c r="AP78" i="8"/>
  <c r="AP79" i="8"/>
  <c r="AP80" i="8"/>
  <c r="AP81" i="8"/>
  <c r="AP82" i="8"/>
  <c r="AP83" i="8"/>
  <c r="AP84" i="8"/>
  <c r="AP85" i="8"/>
  <c r="AP86" i="8"/>
  <c r="AP87" i="8"/>
  <c r="AP88" i="8"/>
  <c r="AP89" i="8"/>
  <c r="AP90" i="8"/>
  <c r="AP91" i="8"/>
  <c r="AP92" i="8"/>
  <c r="AP93" i="8"/>
  <c r="AP94" i="8"/>
  <c r="AP95" i="8"/>
  <c r="AP96" i="8"/>
  <c r="AP97" i="8"/>
  <c r="AP98" i="8"/>
  <c r="AP99" i="8"/>
  <c r="AP100" i="8"/>
  <c r="AP101" i="8"/>
  <c r="AP102" i="8"/>
  <c r="AP103" i="8"/>
  <c r="AP104" i="8"/>
  <c r="AP105" i="8"/>
  <c r="AP106" i="8"/>
  <c r="AP107" i="8"/>
  <c r="AP108" i="8"/>
  <c r="AP109" i="8"/>
  <c r="AP110" i="8"/>
  <c r="AP111" i="8"/>
  <c r="AP112" i="8"/>
  <c r="AP113" i="8"/>
  <c r="AQ113" i="6"/>
  <c r="AQ112" i="6"/>
  <c r="AQ111" i="6"/>
  <c r="AQ110" i="6"/>
  <c r="AQ109" i="6"/>
  <c r="AQ108" i="6"/>
  <c r="AQ107" i="6"/>
  <c r="AQ106" i="6"/>
  <c r="AQ105" i="6"/>
  <c r="AQ104" i="6"/>
  <c r="AQ103" i="6"/>
  <c r="AQ102" i="6"/>
  <c r="AQ101" i="6"/>
  <c r="AQ100" i="6"/>
  <c r="AQ99" i="6"/>
  <c r="AQ98" i="6"/>
  <c r="AQ97" i="6"/>
  <c r="AQ96" i="6"/>
  <c r="AQ95" i="6"/>
  <c r="AQ94" i="6"/>
  <c r="AQ93" i="6"/>
  <c r="AQ92" i="6"/>
  <c r="AQ91" i="6"/>
  <c r="AQ90" i="6"/>
  <c r="AQ89" i="6"/>
  <c r="AQ88" i="6"/>
  <c r="AQ87" i="6"/>
  <c r="AQ86" i="6"/>
  <c r="AQ85" i="6"/>
  <c r="AQ84" i="6"/>
  <c r="AQ83" i="6"/>
  <c r="AQ82" i="6"/>
  <c r="AQ81" i="6"/>
  <c r="AQ80" i="6"/>
  <c r="AQ79" i="6"/>
  <c r="AQ78" i="6"/>
  <c r="AQ77" i="6"/>
  <c r="AQ76" i="6"/>
  <c r="AQ75" i="6"/>
  <c r="AQ74" i="6"/>
  <c r="AQ73" i="6"/>
  <c r="AQ72" i="6"/>
  <c r="AQ71" i="6"/>
  <c r="AQ70" i="6"/>
  <c r="AQ69" i="6"/>
  <c r="AQ68" i="6"/>
  <c r="AQ67" i="6"/>
  <c r="AQ66" i="6"/>
  <c r="AQ65" i="6"/>
  <c r="AQ64" i="6"/>
  <c r="AQ63" i="6"/>
  <c r="AQ62" i="6"/>
  <c r="AQ61" i="6"/>
  <c r="AQ60" i="6"/>
  <c r="AQ59" i="6"/>
  <c r="AQ58" i="6"/>
  <c r="AQ57" i="6"/>
  <c r="AQ56" i="6"/>
  <c r="AQ55" i="6"/>
  <c r="AQ54" i="6"/>
  <c r="AQ53" i="6"/>
  <c r="AQ52" i="6"/>
  <c r="AQ51" i="6"/>
  <c r="AQ50" i="6"/>
  <c r="AQ49" i="6"/>
  <c r="AQ48" i="6"/>
  <c r="AQ47" i="6"/>
  <c r="AQ46" i="6"/>
  <c r="AQ45" i="6"/>
  <c r="AQ44" i="6"/>
  <c r="AQ43" i="6"/>
  <c r="AQ42" i="6"/>
  <c r="AQ41" i="6"/>
  <c r="AQ40" i="6"/>
  <c r="AQ39" i="6"/>
  <c r="AQ38" i="6"/>
  <c r="AQ37" i="6"/>
  <c r="AQ36" i="6"/>
  <c r="AQ35" i="6"/>
  <c r="AQ34" i="6"/>
  <c r="AQ33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D24" i="8"/>
  <c r="Z24" i="8"/>
  <c r="U24" i="8"/>
  <c r="S24" i="8"/>
  <c r="N24" i="8"/>
  <c r="AD53" i="8"/>
  <c r="Z53" i="8"/>
  <c r="U53" i="8"/>
  <c r="S53" i="8"/>
  <c r="N53" i="8"/>
  <c r="AD52" i="8"/>
  <c r="Z52" i="8"/>
  <c r="U52" i="8"/>
  <c r="S52" i="8"/>
  <c r="N52" i="8"/>
  <c r="AD51" i="8"/>
  <c r="Z51" i="8"/>
  <c r="U51" i="8"/>
  <c r="S51" i="8"/>
  <c r="N51" i="8"/>
  <c r="AD50" i="8"/>
  <c r="Z50" i="8"/>
  <c r="U50" i="8"/>
  <c r="S50" i="8"/>
  <c r="N50" i="8"/>
  <c r="AD49" i="8"/>
  <c r="Z49" i="8"/>
  <c r="U49" i="8"/>
  <c r="S49" i="8"/>
  <c r="N49" i="8"/>
  <c r="AD48" i="8"/>
  <c r="Z48" i="8"/>
  <c r="U48" i="8"/>
  <c r="S48" i="8"/>
  <c r="N48" i="8"/>
  <c r="AH47" i="8"/>
  <c r="AF47" i="8"/>
  <c r="AD47" i="8"/>
  <c r="Z47" i="8"/>
  <c r="U47" i="8"/>
  <c r="S47" i="8"/>
  <c r="N47" i="8"/>
  <c r="AH46" i="8"/>
  <c r="AF46" i="8"/>
  <c r="AD46" i="8"/>
  <c r="Z46" i="8"/>
  <c r="U46" i="8"/>
  <c r="S46" i="8"/>
  <c r="N46" i="8"/>
  <c r="AH45" i="8"/>
  <c r="AF45" i="8"/>
  <c r="AD45" i="8"/>
  <c r="Z45" i="8"/>
  <c r="U45" i="8"/>
  <c r="S45" i="8"/>
  <c r="N45" i="8"/>
  <c r="AH44" i="8"/>
  <c r="AF44" i="8"/>
  <c r="AD44" i="8"/>
  <c r="Z44" i="8"/>
  <c r="U44" i="8"/>
  <c r="S44" i="8"/>
  <c r="N44" i="8"/>
  <c r="AH43" i="8"/>
  <c r="AF43" i="8"/>
  <c r="AD43" i="8"/>
  <c r="Z43" i="8"/>
  <c r="U43" i="8"/>
  <c r="S43" i="8"/>
  <c r="N43" i="8"/>
  <c r="AH42" i="8"/>
  <c r="AF42" i="8"/>
  <c r="AD42" i="8"/>
  <c r="Z42" i="8"/>
  <c r="U42" i="8"/>
  <c r="S42" i="8"/>
  <c r="N42" i="8"/>
  <c r="AH41" i="8"/>
  <c r="AF41" i="8"/>
  <c r="AD41" i="8"/>
  <c r="Z41" i="8"/>
  <c r="U41" i="8"/>
  <c r="S41" i="8"/>
  <c r="N41" i="8"/>
  <c r="AH16" i="8"/>
  <c r="AD16" i="8"/>
  <c r="Z16" i="8"/>
  <c r="U16" i="8"/>
  <c r="S16" i="8"/>
  <c r="N16" i="8"/>
  <c r="AD15" i="8"/>
  <c r="Z15" i="8"/>
  <c r="U15" i="8"/>
  <c r="S15" i="8"/>
  <c r="N15" i="8"/>
  <c r="AD101" i="8"/>
  <c r="Z101" i="8"/>
  <c r="U101" i="8"/>
  <c r="S101" i="8"/>
  <c r="N101" i="8"/>
  <c r="AD14" i="8"/>
  <c r="Z14" i="8"/>
  <c r="U14" i="8"/>
  <c r="S14" i="8"/>
  <c r="N14" i="8"/>
  <c r="AD100" i="8"/>
  <c r="Z100" i="8"/>
  <c r="U100" i="8"/>
  <c r="S100" i="8"/>
  <c r="N100" i="8"/>
  <c r="AD13" i="8"/>
  <c r="Z13" i="8"/>
  <c r="U13" i="8"/>
  <c r="S13" i="8"/>
  <c r="N13" i="8"/>
  <c r="AH99" i="8"/>
  <c r="AF99" i="8"/>
  <c r="AD99" i="8"/>
  <c r="Z99" i="8"/>
  <c r="U99" i="8"/>
  <c r="S99" i="8"/>
  <c r="N99" i="8"/>
  <c r="AD98" i="8"/>
  <c r="U98" i="8"/>
  <c r="S98" i="8"/>
  <c r="N98" i="8"/>
  <c r="AH97" i="8"/>
  <c r="AD97" i="8"/>
  <c r="Z97" i="8"/>
  <c r="U97" i="8"/>
  <c r="S97" i="8"/>
  <c r="N97" i="8"/>
  <c r="AH40" i="8"/>
  <c r="AF40" i="8"/>
  <c r="AD40" i="8"/>
  <c r="Z40" i="8"/>
  <c r="U40" i="8"/>
  <c r="S40" i="8"/>
  <c r="N40" i="8"/>
  <c r="AH113" i="8"/>
  <c r="AF113" i="8"/>
  <c r="AD113" i="8"/>
  <c r="Z113" i="8"/>
  <c r="U113" i="8"/>
  <c r="S113" i="8"/>
  <c r="N113" i="8"/>
  <c r="AH112" i="8"/>
  <c r="AF112" i="8"/>
  <c r="AD112" i="8"/>
  <c r="Z112" i="8"/>
  <c r="U112" i="8"/>
  <c r="S112" i="8"/>
  <c r="N112" i="8"/>
  <c r="AH39" i="8"/>
  <c r="AF39" i="8"/>
  <c r="AD39" i="8"/>
  <c r="Z39" i="8"/>
  <c r="U39" i="8"/>
  <c r="S39" i="8"/>
  <c r="N39" i="8"/>
  <c r="AH38" i="8"/>
  <c r="AF38" i="8"/>
  <c r="AD38" i="8"/>
  <c r="Z38" i="8"/>
  <c r="U38" i="8"/>
  <c r="S38" i="8"/>
  <c r="N38" i="8"/>
  <c r="AH111" i="8"/>
  <c r="AF111" i="8"/>
  <c r="AD111" i="8"/>
  <c r="Z111" i="8"/>
  <c r="U111" i="8"/>
  <c r="S111" i="8"/>
  <c r="N111" i="8"/>
  <c r="AF37" i="8"/>
  <c r="AD37" i="8"/>
  <c r="Z37" i="8"/>
  <c r="U37" i="8"/>
  <c r="S37" i="8"/>
  <c r="N37" i="8"/>
  <c r="AH110" i="8"/>
  <c r="AF110" i="8"/>
  <c r="AD110" i="8"/>
  <c r="Z110" i="8"/>
  <c r="U110" i="8"/>
  <c r="S110" i="8"/>
  <c r="N110" i="8"/>
  <c r="AH109" i="8"/>
  <c r="AF109" i="8"/>
  <c r="AD109" i="8"/>
  <c r="Z109" i="8"/>
  <c r="U109" i="8"/>
  <c r="S109" i="8"/>
  <c r="N109" i="8"/>
  <c r="AH36" i="8"/>
  <c r="AF36" i="8"/>
  <c r="AD36" i="8"/>
  <c r="Z36" i="8"/>
  <c r="U36" i="8"/>
  <c r="S36" i="8"/>
  <c r="N36" i="8"/>
  <c r="AF35" i="8"/>
  <c r="AD35" i="8"/>
  <c r="Z35" i="8"/>
  <c r="U35" i="8"/>
  <c r="S35" i="8"/>
  <c r="N35" i="8"/>
  <c r="AF108" i="8"/>
  <c r="AD108" i="8"/>
  <c r="Z108" i="8"/>
  <c r="U108" i="8"/>
  <c r="S108" i="8"/>
  <c r="N108" i="8"/>
  <c r="AH96" i="8"/>
  <c r="AF96" i="8"/>
  <c r="AD96" i="8"/>
  <c r="Z96" i="8"/>
  <c r="U96" i="8"/>
  <c r="S96" i="8"/>
  <c r="N96" i="8"/>
  <c r="AH95" i="8"/>
  <c r="AF95" i="8"/>
  <c r="AD95" i="8"/>
  <c r="Z95" i="8"/>
  <c r="U95" i="8"/>
  <c r="S95" i="8"/>
  <c r="N95" i="8"/>
  <c r="AH94" i="8"/>
  <c r="AF94" i="8"/>
  <c r="AD94" i="8"/>
  <c r="Z94" i="8"/>
  <c r="U94" i="8"/>
  <c r="S94" i="8"/>
  <c r="N94" i="8"/>
  <c r="AH93" i="8"/>
  <c r="AF93" i="8"/>
  <c r="AD93" i="8"/>
  <c r="Z93" i="8"/>
  <c r="U93" i="8"/>
  <c r="S93" i="8"/>
  <c r="N93" i="8"/>
  <c r="AD92" i="8"/>
  <c r="Z92" i="8"/>
  <c r="U92" i="8"/>
  <c r="S92" i="8"/>
  <c r="N92" i="8"/>
  <c r="AD91" i="8"/>
  <c r="Z91" i="8"/>
  <c r="U91" i="8"/>
  <c r="S91" i="8"/>
  <c r="N91" i="8"/>
  <c r="AD90" i="8"/>
  <c r="Z90" i="8"/>
  <c r="U90" i="8"/>
  <c r="S90" i="8"/>
  <c r="N90" i="8"/>
  <c r="U89" i="8"/>
  <c r="S89" i="8"/>
  <c r="U88" i="8"/>
  <c r="S88" i="8"/>
  <c r="U87" i="8"/>
  <c r="S87" i="8"/>
  <c r="U86" i="8"/>
  <c r="S86" i="8"/>
  <c r="U85" i="8"/>
  <c r="S85" i="8"/>
  <c r="U84" i="8"/>
  <c r="S84" i="8"/>
  <c r="U83" i="8"/>
  <c r="S83" i="8"/>
  <c r="U82" i="8"/>
  <c r="S82" i="8"/>
  <c r="U81" i="8"/>
  <c r="S81" i="8"/>
  <c r="U80" i="8"/>
  <c r="S80" i="8"/>
  <c r="AF23" i="8"/>
  <c r="AD23" i="8"/>
  <c r="U23" i="8"/>
  <c r="S23" i="8"/>
  <c r="N23" i="8"/>
  <c r="AD79" i="8"/>
  <c r="Z79" i="8"/>
  <c r="U79" i="8"/>
  <c r="S79" i="8"/>
  <c r="N79" i="8"/>
  <c r="AD78" i="8"/>
  <c r="Z78" i="8"/>
  <c r="U78" i="8"/>
  <c r="S78" i="8"/>
  <c r="N78" i="8"/>
  <c r="AH77" i="8"/>
  <c r="AF77" i="8"/>
  <c r="AD77" i="8"/>
  <c r="Z77" i="8"/>
  <c r="U77" i="8"/>
  <c r="S77" i="8"/>
  <c r="N77" i="8"/>
  <c r="AH76" i="8"/>
  <c r="AF76" i="8"/>
  <c r="AD76" i="8"/>
  <c r="Z76" i="8"/>
  <c r="U76" i="8"/>
  <c r="S76" i="8"/>
  <c r="N76" i="8"/>
  <c r="AH34" i="8"/>
  <c r="AF34" i="8"/>
  <c r="AD34" i="8"/>
  <c r="Z34" i="8"/>
  <c r="U34" i="8"/>
  <c r="S34" i="8"/>
  <c r="N34" i="8"/>
  <c r="AH33" i="8"/>
  <c r="AF33" i="8"/>
  <c r="AD33" i="8"/>
  <c r="Z33" i="8"/>
  <c r="U33" i="8"/>
  <c r="S33" i="8"/>
  <c r="N33" i="8"/>
  <c r="AH75" i="8"/>
  <c r="AF75" i="8"/>
  <c r="AD75" i="8"/>
  <c r="Z75" i="8"/>
  <c r="U75" i="8"/>
  <c r="S75" i="8"/>
  <c r="N75" i="8"/>
  <c r="AH74" i="8"/>
  <c r="AF74" i="8"/>
  <c r="AD74" i="8"/>
  <c r="Z74" i="8"/>
  <c r="U74" i="8"/>
  <c r="S74" i="8"/>
  <c r="N74" i="8"/>
  <c r="AD27" i="8"/>
  <c r="Z27" i="8"/>
  <c r="U27" i="8"/>
  <c r="S27" i="8"/>
  <c r="N27" i="8"/>
  <c r="AH32" i="8"/>
  <c r="AD32" i="8"/>
  <c r="Z32" i="8"/>
  <c r="U32" i="8"/>
  <c r="S32" i="8"/>
  <c r="N32" i="8"/>
  <c r="U31" i="8"/>
  <c r="S31" i="8"/>
  <c r="N31" i="8"/>
  <c r="U30" i="8"/>
  <c r="S30" i="8"/>
  <c r="N30" i="8"/>
  <c r="AH107" i="8"/>
  <c r="AD107" i="8"/>
  <c r="Z107" i="8"/>
  <c r="U107" i="8"/>
  <c r="S107" i="8"/>
  <c r="N107" i="8"/>
  <c r="AD26" i="8"/>
  <c r="Z26" i="8"/>
  <c r="U26" i="8"/>
  <c r="S26" i="8"/>
  <c r="N26" i="8"/>
  <c r="AH106" i="8"/>
  <c r="AD106" i="8"/>
  <c r="Z106" i="8"/>
  <c r="U106" i="8"/>
  <c r="S106" i="8"/>
  <c r="N106" i="8"/>
  <c r="AD22" i="8"/>
  <c r="U22" i="8"/>
  <c r="S22" i="8"/>
  <c r="N22" i="8"/>
  <c r="AD25" i="8"/>
  <c r="Z25" i="8"/>
  <c r="U25" i="8"/>
  <c r="S25" i="8"/>
  <c r="N25" i="8"/>
  <c r="AH105" i="8"/>
  <c r="AD105" i="8"/>
  <c r="Z105" i="8"/>
  <c r="U105" i="8"/>
  <c r="S105" i="8"/>
  <c r="N105" i="8"/>
  <c r="AH73" i="8"/>
  <c r="AF73" i="8"/>
  <c r="AD73" i="8"/>
  <c r="Z73" i="8"/>
  <c r="U73" i="8"/>
  <c r="S73" i="8"/>
  <c r="N73" i="8"/>
  <c r="AH104" i="8"/>
  <c r="AD104" i="8"/>
  <c r="Z104" i="8"/>
  <c r="U104" i="8"/>
  <c r="S104" i="8"/>
  <c r="N104" i="8"/>
  <c r="AH103" i="8"/>
  <c r="AF103" i="8"/>
  <c r="U103" i="8"/>
  <c r="S103" i="8"/>
  <c r="N103" i="8"/>
  <c r="AH102" i="8"/>
  <c r="AF102" i="8"/>
  <c r="U102" i="8"/>
  <c r="S102" i="8"/>
  <c r="N102" i="8"/>
  <c r="AH72" i="8"/>
  <c r="AD72" i="8"/>
  <c r="U72" i="8"/>
  <c r="S72" i="8"/>
  <c r="N72" i="8"/>
  <c r="AH71" i="8"/>
  <c r="AD71" i="8"/>
  <c r="U71" i="8"/>
  <c r="S71" i="8"/>
  <c r="N71" i="8"/>
  <c r="AH70" i="8"/>
  <c r="AF70" i="8"/>
  <c r="AD70" i="8"/>
  <c r="U70" i="8"/>
  <c r="S70" i="8"/>
  <c r="N70" i="8"/>
  <c r="AD69" i="8"/>
  <c r="Z69" i="8"/>
  <c r="U69" i="8"/>
  <c r="S69" i="8"/>
  <c r="N69" i="8"/>
  <c r="AD68" i="8"/>
  <c r="Z68" i="8"/>
  <c r="U68" i="8"/>
  <c r="S68" i="8"/>
  <c r="N68" i="8"/>
  <c r="AH67" i="8"/>
  <c r="AF67" i="8"/>
  <c r="AD67" i="8"/>
  <c r="Z67" i="8"/>
  <c r="U67" i="8"/>
  <c r="S67" i="8"/>
  <c r="N67" i="8"/>
  <c r="AF66" i="8"/>
  <c r="AD66" i="8"/>
  <c r="Z66" i="8"/>
  <c r="U66" i="8"/>
  <c r="S66" i="8"/>
  <c r="N66" i="8"/>
  <c r="AH65" i="8"/>
  <c r="AF65" i="8"/>
  <c r="AD65" i="8"/>
  <c r="Z65" i="8"/>
  <c r="U65" i="8"/>
  <c r="S65" i="8"/>
  <c r="N65" i="8"/>
  <c r="AH64" i="8"/>
  <c r="AF64" i="8"/>
  <c r="AD64" i="8"/>
  <c r="Z64" i="8"/>
  <c r="U64" i="8"/>
  <c r="S64" i="8"/>
  <c r="N64" i="8"/>
  <c r="AH63" i="8"/>
  <c r="AF63" i="8"/>
  <c r="AD63" i="8"/>
  <c r="Z63" i="8"/>
  <c r="U63" i="8"/>
  <c r="S63" i="8"/>
  <c r="N63" i="8"/>
  <c r="AD21" i="8"/>
  <c r="Z21" i="8"/>
  <c r="U21" i="8"/>
  <c r="S21" i="8"/>
  <c r="N21" i="8"/>
  <c r="AF20" i="8"/>
  <c r="AD20" i="8"/>
  <c r="Z20" i="8"/>
  <c r="U20" i="8"/>
  <c r="S20" i="8"/>
  <c r="N20" i="8"/>
  <c r="AD19" i="8"/>
  <c r="Z19" i="8"/>
  <c r="U19" i="8"/>
  <c r="S19" i="8"/>
  <c r="N19" i="8"/>
  <c r="AD18" i="8"/>
  <c r="Z18" i="8"/>
  <c r="U18" i="8"/>
  <c r="S18" i="8"/>
  <c r="N18" i="8"/>
  <c r="AH17" i="8"/>
  <c r="AF17" i="8"/>
  <c r="AD17" i="8"/>
  <c r="Z17" i="8"/>
  <c r="U17" i="8"/>
  <c r="S17" i="8"/>
  <c r="N17" i="8"/>
  <c r="AH12" i="8"/>
  <c r="AF12" i="8"/>
  <c r="AD12" i="8"/>
  <c r="Z12" i="8"/>
  <c r="U12" i="8"/>
  <c r="S12" i="8"/>
  <c r="N12" i="8"/>
  <c r="AH29" i="8"/>
  <c r="AF29" i="8"/>
  <c r="U29" i="8"/>
  <c r="S29" i="8"/>
  <c r="N29" i="8"/>
  <c r="AD28" i="8"/>
  <c r="Z28" i="8"/>
  <c r="U28" i="8"/>
  <c r="S28" i="8"/>
  <c r="N28" i="8"/>
  <c r="U5" i="8"/>
  <c r="S5" i="8"/>
  <c r="N5" i="8"/>
  <c r="AD11" i="8"/>
  <c r="Z11" i="8"/>
  <c r="U11" i="8"/>
  <c r="S11" i="8"/>
  <c r="N11" i="8"/>
  <c r="U4" i="8"/>
  <c r="S4" i="8"/>
  <c r="N4" i="8"/>
  <c r="AD10" i="8"/>
  <c r="Z10" i="8"/>
  <c r="U10" i="8"/>
  <c r="S10" i="8"/>
  <c r="N10" i="8"/>
  <c r="Z3" i="8"/>
  <c r="U3" i="8"/>
  <c r="S3" i="8"/>
  <c r="N3" i="8"/>
  <c r="Z6" i="8"/>
  <c r="U6" i="8"/>
  <c r="S6" i="8"/>
  <c r="N6" i="8"/>
  <c r="AD8" i="8"/>
  <c r="Z8" i="8"/>
  <c r="U8" i="8"/>
  <c r="S8" i="8"/>
  <c r="N8" i="8"/>
  <c r="U2" i="8"/>
  <c r="S2" i="8"/>
  <c r="N2" i="8"/>
  <c r="AD9" i="8"/>
  <c r="Z9" i="8"/>
  <c r="U9" i="8"/>
  <c r="S9" i="8"/>
  <c r="N9" i="8"/>
  <c r="AH7" i="8"/>
  <c r="AD7" i="8"/>
  <c r="Z7" i="8"/>
  <c r="U7" i="8"/>
  <c r="S7" i="8"/>
  <c r="N7" i="8"/>
  <c r="AH62" i="8"/>
  <c r="AD62" i="8"/>
  <c r="Z62" i="8"/>
  <c r="U62" i="8"/>
  <c r="S62" i="8"/>
  <c r="N62" i="8"/>
  <c r="AH61" i="8"/>
  <c r="AF61" i="8"/>
  <c r="AD61" i="8"/>
  <c r="Z61" i="8"/>
  <c r="U61" i="8"/>
  <c r="S61" i="8"/>
  <c r="N61" i="8"/>
  <c r="AD60" i="8"/>
  <c r="Z60" i="8"/>
  <c r="U60" i="8"/>
  <c r="S60" i="8"/>
  <c r="N60" i="8"/>
  <c r="AH59" i="8"/>
  <c r="AF59" i="8"/>
  <c r="AD59" i="8"/>
  <c r="Z59" i="8"/>
  <c r="U59" i="8"/>
  <c r="S59" i="8"/>
  <c r="N59" i="8"/>
  <c r="AH58" i="8"/>
  <c r="AF58" i="8"/>
  <c r="AD58" i="8"/>
  <c r="Z58" i="8"/>
  <c r="U58" i="8"/>
  <c r="S58" i="8"/>
  <c r="N58" i="8"/>
  <c r="AH57" i="8"/>
  <c r="AD57" i="8"/>
  <c r="Z57" i="8"/>
  <c r="U57" i="8"/>
  <c r="S57" i="8"/>
  <c r="N57" i="8"/>
  <c r="AH56" i="8"/>
  <c r="AF56" i="8"/>
  <c r="AD56" i="8"/>
  <c r="Z56" i="8"/>
  <c r="U56" i="8"/>
  <c r="S56" i="8"/>
  <c r="N56" i="8"/>
  <c r="AH55" i="8"/>
  <c r="AF55" i="8"/>
  <c r="AD55" i="8"/>
  <c r="Z55" i="8"/>
  <c r="U55" i="8"/>
  <c r="S55" i="8"/>
  <c r="N55" i="8"/>
  <c r="AH54" i="8"/>
  <c r="AD54" i="8"/>
  <c r="Z54" i="8"/>
  <c r="U54" i="8"/>
  <c r="S54" i="8"/>
  <c r="N54" i="8"/>
  <c r="AE135" i="6" l="1"/>
  <c r="AA135" i="6"/>
  <c r="N135" i="6"/>
  <c r="AE134" i="6"/>
  <c r="AA134" i="6"/>
  <c r="U134" i="6"/>
  <c r="S134" i="6"/>
  <c r="N134" i="6"/>
  <c r="N133" i="6"/>
  <c r="AE132" i="6"/>
  <c r="AC132" i="6"/>
  <c r="AA132" i="6"/>
  <c r="U132" i="6"/>
  <c r="S132" i="6"/>
  <c r="N132" i="6"/>
  <c r="AE131" i="6"/>
  <c r="AC131" i="6"/>
  <c r="AA131" i="6"/>
  <c r="U131" i="6"/>
  <c r="S131" i="6"/>
  <c r="N131" i="6"/>
  <c r="AE130" i="6"/>
  <c r="AC130" i="6"/>
  <c r="AA130" i="6"/>
  <c r="U130" i="6"/>
  <c r="S130" i="6"/>
  <c r="N130" i="6"/>
  <c r="AE129" i="6"/>
  <c r="AC129" i="6"/>
  <c r="AA129" i="6"/>
  <c r="U129" i="6"/>
  <c r="S129" i="6"/>
  <c r="N129" i="6"/>
  <c r="AE128" i="6"/>
  <c r="AC128" i="6"/>
  <c r="AA128" i="6"/>
  <c r="U128" i="6"/>
  <c r="S128" i="6"/>
  <c r="N128" i="6"/>
  <c r="AE127" i="6"/>
  <c r="AA127" i="6"/>
  <c r="U127" i="6"/>
  <c r="S127" i="6"/>
  <c r="N127" i="6"/>
  <c r="AI126" i="6"/>
  <c r="AG126" i="6"/>
  <c r="AE126" i="6"/>
  <c r="AC126" i="6"/>
  <c r="AA126" i="6"/>
  <c r="U126" i="6"/>
  <c r="S126" i="6"/>
  <c r="N126" i="6"/>
  <c r="AI125" i="6"/>
  <c r="AG125" i="6"/>
  <c r="AE125" i="6"/>
  <c r="AC125" i="6"/>
  <c r="AA125" i="6"/>
  <c r="U125" i="6"/>
  <c r="S125" i="6"/>
  <c r="N125" i="6"/>
  <c r="AI124" i="6"/>
  <c r="AG124" i="6"/>
  <c r="AE124" i="6"/>
  <c r="AC124" i="6"/>
  <c r="AA124" i="6"/>
  <c r="U124" i="6"/>
  <c r="S124" i="6"/>
  <c r="N124" i="6"/>
  <c r="AI123" i="6"/>
  <c r="AG123" i="6"/>
  <c r="AE123" i="6"/>
  <c r="AC123" i="6"/>
  <c r="AA123" i="6"/>
  <c r="U123" i="6"/>
  <c r="S123" i="6"/>
  <c r="N123" i="6"/>
  <c r="AI122" i="6"/>
  <c r="AG122" i="6"/>
  <c r="AE122" i="6"/>
  <c r="AC122" i="6"/>
  <c r="AA122" i="6"/>
  <c r="U122" i="6"/>
  <c r="S122" i="6"/>
  <c r="N122" i="6"/>
  <c r="AI121" i="6"/>
  <c r="AG121" i="6"/>
  <c r="AE121" i="6"/>
  <c r="AC121" i="6"/>
  <c r="AA121" i="6"/>
  <c r="U121" i="6"/>
  <c r="S121" i="6"/>
  <c r="N121" i="6"/>
  <c r="AI120" i="6"/>
  <c r="AG120" i="6"/>
  <c r="AE120" i="6"/>
  <c r="AC120" i="6"/>
  <c r="AA120" i="6"/>
  <c r="U120" i="6"/>
  <c r="S120" i="6"/>
  <c r="N120" i="6"/>
  <c r="AI119" i="6"/>
  <c r="AE119" i="6"/>
  <c r="AC119" i="6"/>
  <c r="AA119" i="6"/>
  <c r="U119" i="6"/>
  <c r="S119" i="6"/>
  <c r="N119" i="6"/>
  <c r="AE118" i="6"/>
  <c r="AA118" i="6"/>
  <c r="U118" i="6"/>
  <c r="S118" i="6"/>
  <c r="N118" i="6"/>
  <c r="AE117" i="6"/>
  <c r="AC117" i="6"/>
  <c r="AA117" i="6"/>
  <c r="U117" i="6"/>
  <c r="S117" i="6"/>
  <c r="N117" i="6"/>
  <c r="AE116" i="6"/>
  <c r="AC116" i="6"/>
  <c r="AA116" i="6"/>
  <c r="U116" i="6"/>
  <c r="S116" i="6"/>
  <c r="N116" i="6"/>
  <c r="AE115" i="6"/>
  <c r="AC115" i="6"/>
  <c r="AA115" i="6"/>
  <c r="U115" i="6"/>
  <c r="S115" i="6"/>
  <c r="N115" i="6"/>
  <c r="AE114" i="6"/>
  <c r="AC114" i="6"/>
  <c r="AA114" i="6"/>
  <c r="U114" i="6"/>
  <c r="S114" i="6"/>
  <c r="N114" i="6"/>
  <c r="AI113" i="6"/>
  <c r="AG113" i="6"/>
  <c r="AE113" i="6"/>
  <c r="AA113" i="6"/>
  <c r="U113" i="6"/>
  <c r="S113" i="6"/>
  <c r="N113" i="6"/>
  <c r="AE112" i="6"/>
  <c r="U112" i="6"/>
  <c r="S112" i="6"/>
  <c r="N112" i="6"/>
  <c r="AI111" i="6"/>
  <c r="AE111" i="6"/>
  <c r="AA111" i="6"/>
  <c r="U111" i="6"/>
  <c r="S111" i="6"/>
  <c r="N111" i="6"/>
  <c r="AI110" i="6"/>
  <c r="AG110" i="6"/>
  <c r="AE110" i="6"/>
  <c r="AC110" i="6"/>
  <c r="AA110" i="6"/>
  <c r="U110" i="6"/>
  <c r="S110" i="6"/>
  <c r="N110" i="6"/>
  <c r="AI109" i="6"/>
  <c r="AG109" i="6"/>
  <c r="AE109" i="6"/>
  <c r="AC109" i="6"/>
  <c r="AA109" i="6"/>
  <c r="U109" i="6"/>
  <c r="S109" i="6"/>
  <c r="N109" i="6"/>
  <c r="AI108" i="6"/>
  <c r="AG108" i="6"/>
  <c r="AE108" i="6"/>
  <c r="AC108" i="6"/>
  <c r="AA108" i="6"/>
  <c r="U108" i="6"/>
  <c r="S108" i="6"/>
  <c r="N108" i="6"/>
  <c r="AI107" i="6"/>
  <c r="AG107" i="6"/>
  <c r="AE107" i="6"/>
  <c r="AC107" i="6"/>
  <c r="AA107" i="6"/>
  <c r="U107" i="6"/>
  <c r="S107" i="6"/>
  <c r="N107" i="6"/>
  <c r="AI106" i="6"/>
  <c r="AG106" i="6"/>
  <c r="AE106" i="6"/>
  <c r="AC106" i="6"/>
  <c r="AA106" i="6"/>
  <c r="U106" i="6"/>
  <c r="S106" i="6"/>
  <c r="N106" i="6"/>
  <c r="AI105" i="6"/>
  <c r="AG105" i="6"/>
  <c r="AE105" i="6"/>
  <c r="AC105" i="6"/>
  <c r="AA105" i="6"/>
  <c r="U105" i="6"/>
  <c r="S105" i="6"/>
  <c r="N105" i="6"/>
  <c r="AG104" i="6"/>
  <c r="AE104" i="6"/>
  <c r="AC104" i="6"/>
  <c r="AA104" i="6"/>
  <c r="U104" i="6"/>
  <c r="S104" i="6"/>
  <c r="N104" i="6"/>
  <c r="AI103" i="6"/>
  <c r="AG103" i="6"/>
  <c r="AE103" i="6"/>
  <c r="AC103" i="6"/>
  <c r="AA103" i="6"/>
  <c r="U103" i="6"/>
  <c r="S103" i="6"/>
  <c r="N103" i="6"/>
  <c r="AI102" i="6"/>
  <c r="AG102" i="6"/>
  <c r="AE102" i="6"/>
  <c r="AC102" i="6"/>
  <c r="AA102" i="6"/>
  <c r="U102" i="6"/>
  <c r="S102" i="6"/>
  <c r="N102" i="6"/>
  <c r="AI101" i="6"/>
  <c r="AG101" i="6"/>
  <c r="AE101" i="6"/>
  <c r="AA101" i="6"/>
  <c r="U101" i="6"/>
  <c r="S101" i="6"/>
  <c r="N101" i="6"/>
  <c r="AG100" i="6"/>
  <c r="AE100" i="6"/>
  <c r="AA100" i="6"/>
  <c r="U100" i="6"/>
  <c r="S100" i="6"/>
  <c r="N100" i="6"/>
  <c r="AG99" i="6"/>
  <c r="AE99" i="6"/>
  <c r="AA99" i="6"/>
  <c r="U99" i="6"/>
  <c r="S99" i="6"/>
  <c r="N99" i="6"/>
  <c r="AI98" i="6"/>
  <c r="AG98" i="6"/>
  <c r="AE98" i="6"/>
  <c r="AA98" i="6"/>
  <c r="U98" i="6"/>
  <c r="S98" i="6"/>
  <c r="N98" i="6"/>
  <c r="AI97" i="6"/>
  <c r="AG97" i="6"/>
  <c r="AE97" i="6"/>
  <c r="AA97" i="6"/>
  <c r="U97" i="6"/>
  <c r="S97" i="6"/>
  <c r="N97" i="6"/>
  <c r="AI96" i="6"/>
  <c r="AG96" i="6"/>
  <c r="AE96" i="6"/>
  <c r="AA96" i="6"/>
  <c r="U96" i="6"/>
  <c r="S96" i="6"/>
  <c r="N96" i="6"/>
  <c r="AI95" i="6"/>
  <c r="AG95" i="6"/>
  <c r="AE95" i="6"/>
  <c r="AA95" i="6"/>
  <c r="U95" i="6"/>
  <c r="S95" i="6"/>
  <c r="N95" i="6"/>
  <c r="AE94" i="6"/>
  <c r="AC94" i="6"/>
  <c r="AA94" i="6"/>
  <c r="U94" i="6"/>
  <c r="S94" i="6"/>
  <c r="N94" i="6"/>
  <c r="AE93" i="6"/>
  <c r="AC93" i="6"/>
  <c r="AA93" i="6"/>
  <c r="U93" i="6"/>
  <c r="S93" i="6"/>
  <c r="N93" i="6"/>
  <c r="AE92" i="6"/>
  <c r="AC92" i="6"/>
  <c r="AA92" i="6"/>
  <c r="U92" i="6"/>
  <c r="S92" i="6"/>
  <c r="N92" i="6"/>
  <c r="N91" i="6"/>
  <c r="N90" i="6"/>
  <c r="U76" i="6"/>
  <c r="S76" i="6"/>
  <c r="U75" i="6"/>
  <c r="S75" i="6"/>
  <c r="U74" i="6"/>
  <c r="S74" i="6"/>
  <c r="U73" i="6"/>
  <c r="S73" i="6"/>
  <c r="U72" i="6"/>
  <c r="S72" i="6"/>
  <c r="U71" i="6"/>
  <c r="S71" i="6"/>
  <c r="U70" i="6"/>
  <c r="S70" i="6"/>
  <c r="U69" i="6"/>
  <c r="S69" i="6"/>
  <c r="U68" i="6"/>
  <c r="S68" i="6"/>
  <c r="U67" i="6"/>
  <c r="S67" i="6"/>
  <c r="AG66" i="6"/>
  <c r="AE66" i="6"/>
  <c r="U66" i="6"/>
  <c r="S66" i="6"/>
  <c r="N66" i="6"/>
  <c r="AE65" i="6"/>
  <c r="AA65" i="6"/>
  <c r="U65" i="6"/>
  <c r="S65" i="6"/>
  <c r="N65" i="6"/>
  <c r="AE64" i="6"/>
  <c r="AA64" i="6"/>
  <c r="U64" i="6"/>
  <c r="S64" i="6"/>
  <c r="N64" i="6"/>
  <c r="AI63" i="6"/>
  <c r="AG63" i="6"/>
  <c r="AE63" i="6"/>
  <c r="U63" i="6"/>
  <c r="S63" i="6"/>
  <c r="N63" i="6"/>
  <c r="AI62" i="6"/>
  <c r="AG62" i="6"/>
  <c r="AE62" i="6"/>
  <c r="AA62" i="6"/>
  <c r="U62" i="6"/>
  <c r="S62" i="6"/>
  <c r="N62" i="6"/>
  <c r="AI61" i="6"/>
  <c r="AG61" i="6"/>
  <c r="AE61" i="6"/>
  <c r="AA61" i="6"/>
  <c r="U61" i="6"/>
  <c r="S61" i="6"/>
  <c r="N61" i="6"/>
  <c r="AI60" i="6"/>
  <c r="AG60" i="6"/>
  <c r="AE60" i="6"/>
  <c r="AA60" i="6"/>
  <c r="U60" i="6"/>
  <c r="S60" i="6"/>
  <c r="N60" i="6"/>
  <c r="AI59" i="6"/>
  <c r="AG59" i="6"/>
  <c r="AE59" i="6"/>
  <c r="AA59" i="6"/>
  <c r="U59" i="6"/>
  <c r="S59" i="6"/>
  <c r="N59" i="6"/>
  <c r="AI58" i="6"/>
  <c r="AG58" i="6"/>
  <c r="AE58" i="6"/>
  <c r="AA58" i="6"/>
  <c r="U58" i="6"/>
  <c r="S58" i="6"/>
  <c r="N58" i="6"/>
  <c r="AI57" i="6"/>
  <c r="AG57" i="6"/>
  <c r="AE57" i="6"/>
  <c r="AA57" i="6"/>
  <c r="U57" i="6"/>
  <c r="S57" i="6"/>
  <c r="N57" i="6"/>
  <c r="AE56" i="6"/>
  <c r="AA56" i="6"/>
  <c r="U56" i="6"/>
  <c r="S56" i="6"/>
  <c r="N56" i="6"/>
  <c r="AI55" i="6"/>
  <c r="AE55" i="6"/>
  <c r="AC55" i="6"/>
  <c r="AA55" i="6"/>
  <c r="U55" i="6"/>
  <c r="S55" i="6"/>
  <c r="N55" i="6"/>
  <c r="U54" i="6"/>
  <c r="S54" i="6"/>
  <c r="N54" i="6"/>
  <c r="U53" i="6"/>
  <c r="S53" i="6"/>
  <c r="N53" i="6"/>
  <c r="AI52" i="6"/>
  <c r="AE52" i="6"/>
  <c r="AC52" i="6"/>
  <c r="AA52" i="6"/>
  <c r="U52" i="6"/>
  <c r="S52" i="6"/>
  <c r="N52" i="6"/>
  <c r="AE51" i="6"/>
  <c r="AC51" i="6"/>
  <c r="AA51" i="6"/>
  <c r="U51" i="6"/>
  <c r="S51" i="6"/>
  <c r="N51" i="6"/>
  <c r="AI50" i="6"/>
  <c r="AE50" i="6"/>
  <c r="AC50" i="6"/>
  <c r="AA50" i="6"/>
  <c r="U50" i="6"/>
  <c r="S50" i="6"/>
  <c r="N50" i="6"/>
  <c r="AE49" i="6"/>
  <c r="U49" i="6"/>
  <c r="S49" i="6"/>
  <c r="N49" i="6"/>
  <c r="AE48" i="6"/>
  <c r="AC48" i="6"/>
  <c r="AA48" i="6"/>
  <c r="U48" i="6"/>
  <c r="S48" i="6"/>
  <c r="N48" i="6"/>
  <c r="AI47" i="6"/>
  <c r="AE47" i="6"/>
  <c r="AC47" i="6"/>
  <c r="AA47" i="6"/>
  <c r="U47" i="6"/>
  <c r="S47" i="6"/>
  <c r="N47" i="6"/>
  <c r="AI46" i="6"/>
  <c r="AG46" i="6"/>
  <c r="AE46" i="6"/>
  <c r="AC46" i="6"/>
  <c r="AA46" i="6"/>
  <c r="U46" i="6"/>
  <c r="S46" i="6"/>
  <c r="N46" i="6"/>
  <c r="AI45" i="6"/>
  <c r="AE45" i="6"/>
  <c r="AC45" i="6"/>
  <c r="AA45" i="6"/>
  <c r="U45" i="6"/>
  <c r="S45" i="6"/>
  <c r="N45" i="6"/>
  <c r="AI44" i="6"/>
  <c r="AG44" i="6"/>
  <c r="U44" i="6"/>
  <c r="S44" i="6"/>
  <c r="N44" i="6"/>
  <c r="AI43" i="6"/>
  <c r="AG43" i="6"/>
  <c r="U43" i="6"/>
  <c r="S43" i="6"/>
  <c r="N43" i="6"/>
  <c r="U42" i="6"/>
  <c r="S42" i="6"/>
  <c r="N42" i="6"/>
  <c r="AI41" i="6"/>
  <c r="AE41" i="6"/>
  <c r="AC41" i="6"/>
  <c r="U41" i="6"/>
  <c r="S41" i="6"/>
  <c r="N41" i="6"/>
  <c r="AI40" i="6"/>
  <c r="AE40" i="6"/>
  <c r="AC40" i="6"/>
  <c r="U40" i="6"/>
  <c r="S40" i="6"/>
  <c r="N40" i="6"/>
  <c r="AI39" i="6"/>
  <c r="AG39" i="6"/>
  <c r="AE39" i="6"/>
  <c r="AC39" i="6"/>
  <c r="U39" i="6"/>
  <c r="S39" i="6"/>
  <c r="N39" i="6"/>
  <c r="AE38" i="6"/>
  <c r="AC38" i="6"/>
  <c r="AA38" i="6"/>
  <c r="U38" i="6"/>
  <c r="S38" i="6"/>
  <c r="N38" i="6"/>
  <c r="AE37" i="6"/>
  <c r="AC37" i="6"/>
  <c r="AA37" i="6"/>
  <c r="U37" i="6"/>
  <c r="S37" i="6"/>
  <c r="N37" i="6"/>
  <c r="N36" i="6"/>
  <c r="N35" i="6"/>
  <c r="U34" i="6"/>
  <c r="S34" i="6"/>
  <c r="N34" i="6"/>
  <c r="AI33" i="6"/>
  <c r="AG33" i="6"/>
  <c r="AE33" i="6"/>
  <c r="AC33" i="6"/>
  <c r="AA33" i="6"/>
  <c r="U33" i="6"/>
  <c r="S33" i="6"/>
  <c r="N33" i="6"/>
  <c r="AG32" i="6"/>
  <c r="AE32" i="6"/>
  <c r="AA32" i="6"/>
  <c r="U32" i="6"/>
  <c r="S32" i="6"/>
  <c r="N32" i="6"/>
  <c r="AI31" i="6"/>
  <c r="AG31" i="6"/>
  <c r="AE31" i="6"/>
  <c r="AC31" i="6"/>
  <c r="AA31" i="6"/>
  <c r="U31" i="6"/>
  <c r="S31" i="6"/>
  <c r="N31" i="6"/>
  <c r="AI30" i="6"/>
  <c r="AG30" i="6"/>
  <c r="AE30" i="6"/>
  <c r="AC30" i="6"/>
  <c r="AA30" i="6"/>
  <c r="U30" i="6"/>
  <c r="S30" i="6"/>
  <c r="N30" i="6"/>
  <c r="AI29" i="6"/>
  <c r="AG29" i="6"/>
  <c r="AE29" i="6"/>
  <c r="AC29" i="6"/>
  <c r="AA29" i="6"/>
  <c r="U29" i="6"/>
  <c r="S29" i="6"/>
  <c r="N29" i="6"/>
  <c r="AE28" i="6"/>
  <c r="AC28" i="6"/>
  <c r="AA28" i="6"/>
  <c r="U28" i="6"/>
  <c r="S28" i="6"/>
  <c r="N28" i="6"/>
  <c r="AG27" i="6"/>
  <c r="AE27" i="6"/>
  <c r="AC27" i="6"/>
  <c r="AA27" i="6"/>
  <c r="U27" i="6"/>
  <c r="S27" i="6"/>
  <c r="N27" i="6"/>
  <c r="AE26" i="6"/>
  <c r="AA26" i="6"/>
  <c r="U26" i="6"/>
  <c r="S26" i="6"/>
  <c r="N26" i="6"/>
  <c r="AE25" i="6"/>
  <c r="AA25" i="6"/>
  <c r="U25" i="6"/>
  <c r="S25" i="6"/>
  <c r="N25" i="6"/>
  <c r="AI24" i="6"/>
  <c r="AG24" i="6"/>
  <c r="AE24" i="6"/>
  <c r="AA24" i="6"/>
  <c r="U24" i="6"/>
  <c r="S24" i="6"/>
  <c r="N24" i="6"/>
  <c r="AI23" i="6"/>
  <c r="AG23" i="6"/>
  <c r="AE23" i="6"/>
  <c r="AC23" i="6"/>
  <c r="AA23" i="6"/>
  <c r="U23" i="6"/>
  <c r="S23" i="6"/>
  <c r="N23" i="6"/>
  <c r="AI22" i="6"/>
  <c r="AG22" i="6"/>
  <c r="U22" i="6"/>
  <c r="S22" i="6"/>
  <c r="N22" i="6"/>
  <c r="AE21" i="6"/>
  <c r="AC21" i="6"/>
  <c r="AA21" i="6"/>
  <c r="U21" i="6"/>
  <c r="S21" i="6"/>
  <c r="N21" i="6"/>
  <c r="U20" i="6"/>
  <c r="S20" i="6"/>
  <c r="N20" i="6"/>
  <c r="AE19" i="6"/>
  <c r="AC19" i="6"/>
  <c r="AA19" i="6"/>
  <c r="U19" i="6"/>
  <c r="S19" i="6"/>
  <c r="N19" i="6"/>
  <c r="U18" i="6"/>
  <c r="S18" i="6"/>
  <c r="N18" i="6"/>
  <c r="AE17" i="6"/>
  <c r="AC17" i="6"/>
  <c r="AA17" i="6"/>
  <c r="U17" i="6"/>
  <c r="S17" i="6"/>
  <c r="N17" i="6"/>
  <c r="AC16" i="6"/>
  <c r="AA16" i="6"/>
  <c r="U16" i="6"/>
  <c r="S16" i="6"/>
  <c r="N16" i="6"/>
  <c r="AC15" i="6"/>
  <c r="AA15" i="6"/>
  <c r="U15" i="6"/>
  <c r="S15" i="6"/>
  <c r="N15" i="6"/>
  <c r="AE14" i="6"/>
  <c r="AC14" i="6"/>
  <c r="AA14" i="6"/>
  <c r="U14" i="6"/>
  <c r="S14" i="6"/>
  <c r="N14" i="6"/>
  <c r="U13" i="6"/>
  <c r="S13" i="6"/>
  <c r="N13" i="6"/>
  <c r="AE12" i="6"/>
  <c r="AC12" i="6"/>
  <c r="AA12" i="6"/>
  <c r="U12" i="6"/>
  <c r="S12" i="6"/>
  <c r="N12" i="6"/>
  <c r="AI11" i="6"/>
  <c r="AE11" i="6"/>
  <c r="AC11" i="6"/>
  <c r="AA11" i="6"/>
  <c r="U11" i="6"/>
  <c r="S11" i="6"/>
  <c r="N11" i="6"/>
  <c r="AI10" i="6"/>
  <c r="AE10" i="6"/>
  <c r="AA10" i="6"/>
  <c r="U10" i="6"/>
  <c r="S10" i="6"/>
  <c r="N10" i="6"/>
  <c r="AI9" i="6"/>
  <c r="AG9" i="6"/>
  <c r="AE9" i="6"/>
  <c r="AA9" i="6"/>
  <c r="U9" i="6"/>
  <c r="S9" i="6"/>
  <c r="N9" i="6"/>
  <c r="AE8" i="6"/>
  <c r="AA8" i="6"/>
  <c r="U8" i="6"/>
  <c r="S8" i="6"/>
  <c r="N8" i="6"/>
  <c r="AI7" i="6"/>
  <c r="AG7" i="6"/>
  <c r="AE7" i="6"/>
  <c r="AA7" i="6"/>
  <c r="U7" i="6"/>
  <c r="S7" i="6"/>
  <c r="N7" i="6"/>
  <c r="AI6" i="6"/>
  <c r="AG6" i="6"/>
  <c r="AE6" i="6"/>
  <c r="AA6" i="6"/>
  <c r="U6" i="6"/>
  <c r="S6" i="6"/>
  <c r="N6" i="6"/>
  <c r="AI5" i="6"/>
  <c r="AE5" i="6"/>
  <c r="AA5" i="6"/>
  <c r="U5" i="6"/>
  <c r="S5" i="6"/>
  <c r="N5" i="6"/>
  <c r="AI4" i="6"/>
  <c r="AG4" i="6"/>
  <c r="AE4" i="6"/>
  <c r="AA4" i="6"/>
  <c r="U4" i="6"/>
  <c r="S4" i="6"/>
  <c r="N4" i="6"/>
  <c r="AI3" i="6"/>
  <c r="AG3" i="6"/>
  <c r="AE3" i="6"/>
  <c r="AA3" i="6"/>
  <c r="U3" i="6"/>
  <c r="S3" i="6"/>
  <c r="N3" i="6"/>
  <c r="AI2" i="6"/>
  <c r="AE2" i="6"/>
  <c r="AA2" i="6"/>
  <c r="U2" i="6"/>
  <c r="S2" i="6"/>
  <c r="N2" i="6"/>
  <c r="AA135" i="5"/>
  <c r="AB135" i="5" s="1"/>
  <c r="X135" i="5"/>
  <c r="Y135" i="5" s="1"/>
  <c r="U135" i="5"/>
  <c r="V135" i="5" s="1"/>
  <c r="M135" i="5"/>
  <c r="P135" i="5" s="1"/>
  <c r="L135" i="5"/>
  <c r="S135" i="5" s="1"/>
  <c r="K135" i="5"/>
  <c r="J135" i="5"/>
  <c r="AA134" i="5"/>
  <c r="AB134" i="5" s="1"/>
  <c r="M134" i="5"/>
  <c r="O134" i="5" s="1"/>
  <c r="L134" i="5"/>
  <c r="S134" i="5" s="1"/>
  <c r="K134" i="5"/>
  <c r="J134" i="5"/>
  <c r="AA133" i="5"/>
  <c r="AB133" i="5" s="1"/>
  <c r="X133" i="5"/>
  <c r="Y133" i="5" s="1"/>
  <c r="U133" i="5"/>
  <c r="V133" i="5" s="1"/>
  <c r="M133" i="5"/>
  <c r="P133" i="5" s="1"/>
  <c r="L133" i="5"/>
  <c r="S133" i="5" s="1"/>
  <c r="K133" i="5"/>
  <c r="J133" i="5"/>
  <c r="AA132" i="5"/>
  <c r="AB132" i="5" s="1"/>
  <c r="M132" i="5"/>
  <c r="P132" i="5" s="1"/>
  <c r="L132" i="5"/>
  <c r="S132" i="5" s="1"/>
  <c r="K132" i="5"/>
  <c r="J132" i="5"/>
  <c r="AA131" i="5"/>
  <c r="AB131" i="5" s="1"/>
  <c r="M131" i="5"/>
  <c r="P131" i="5" s="1"/>
  <c r="L131" i="5"/>
  <c r="S131" i="5" s="1"/>
  <c r="K131" i="5"/>
  <c r="J131" i="5"/>
  <c r="AA130" i="5"/>
  <c r="AB130" i="5" s="1"/>
  <c r="M130" i="5"/>
  <c r="P130" i="5" s="1"/>
  <c r="L130" i="5"/>
  <c r="S130" i="5" s="1"/>
  <c r="K130" i="5"/>
  <c r="J130" i="5"/>
  <c r="AA129" i="5"/>
  <c r="AB129" i="5" s="1"/>
  <c r="M129" i="5"/>
  <c r="P129" i="5" s="1"/>
  <c r="L129" i="5"/>
  <c r="S129" i="5" s="1"/>
  <c r="K129" i="5"/>
  <c r="J129" i="5"/>
  <c r="AA128" i="5"/>
  <c r="AB128" i="5" s="1"/>
  <c r="M128" i="5"/>
  <c r="O128" i="5" s="1"/>
  <c r="L128" i="5"/>
  <c r="S128" i="5" s="1"/>
  <c r="K128" i="5"/>
  <c r="J128" i="5"/>
  <c r="AA127" i="5"/>
  <c r="AB127" i="5" s="1"/>
  <c r="M127" i="5"/>
  <c r="O127" i="5" s="1"/>
  <c r="L127" i="5"/>
  <c r="S127" i="5" s="1"/>
  <c r="K127" i="5"/>
  <c r="J127" i="5"/>
  <c r="AA126" i="5"/>
  <c r="AB126" i="5" s="1"/>
  <c r="X126" i="5"/>
  <c r="Y126" i="5" s="1"/>
  <c r="U126" i="5"/>
  <c r="V126" i="5" s="1"/>
  <c r="M126" i="5"/>
  <c r="P126" i="5" s="1"/>
  <c r="L126" i="5"/>
  <c r="S126" i="5" s="1"/>
  <c r="K126" i="5"/>
  <c r="J126" i="5"/>
  <c r="AA125" i="5"/>
  <c r="AB125" i="5" s="1"/>
  <c r="X125" i="5"/>
  <c r="Y125" i="5" s="1"/>
  <c r="U125" i="5"/>
  <c r="V125" i="5" s="1"/>
  <c r="M125" i="5"/>
  <c r="O125" i="5" s="1"/>
  <c r="L125" i="5"/>
  <c r="S125" i="5" s="1"/>
  <c r="K125" i="5"/>
  <c r="J125" i="5"/>
  <c r="AA124" i="5"/>
  <c r="AB124" i="5" s="1"/>
  <c r="X124" i="5"/>
  <c r="Y124" i="5" s="1"/>
  <c r="U124" i="5"/>
  <c r="V124" i="5" s="1"/>
  <c r="M124" i="5"/>
  <c r="P124" i="5" s="1"/>
  <c r="L124" i="5"/>
  <c r="S124" i="5" s="1"/>
  <c r="K124" i="5"/>
  <c r="J124" i="5"/>
  <c r="AA123" i="5"/>
  <c r="AB123" i="5" s="1"/>
  <c r="X123" i="5"/>
  <c r="Y123" i="5" s="1"/>
  <c r="U123" i="5"/>
  <c r="V123" i="5" s="1"/>
  <c r="M123" i="5"/>
  <c r="O123" i="5" s="1"/>
  <c r="L123" i="5"/>
  <c r="S123" i="5" s="1"/>
  <c r="K123" i="5"/>
  <c r="J123" i="5"/>
  <c r="AA122" i="5"/>
  <c r="AB122" i="5" s="1"/>
  <c r="X122" i="5"/>
  <c r="Y122" i="5" s="1"/>
  <c r="U122" i="5"/>
  <c r="V122" i="5" s="1"/>
  <c r="M122" i="5"/>
  <c r="O122" i="5" s="1"/>
  <c r="L122" i="5"/>
  <c r="S122" i="5" s="1"/>
  <c r="K122" i="5"/>
  <c r="J122" i="5"/>
  <c r="AA121" i="5"/>
  <c r="AB121" i="5" s="1"/>
  <c r="X121" i="5"/>
  <c r="Y121" i="5" s="1"/>
  <c r="U121" i="5"/>
  <c r="V121" i="5" s="1"/>
  <c r="M121" i="5"/>
  <c r="P121" i="5" s="1"/>
  <c r="L121" i="5"/>
  <c r="S121" i="5" s="1"/>
  <c r="K121" i="5"/>
  <c r="J121" i="5"/>
  <c r="AA120" i="5"/>
  <c r="AB120" i="5" s="1"/>
  <c r="X120" i="5"/>
  <c r="Y120" i="5" s="1"/>
  <c r="U120" i="5"/>
  <c r="V120" i="5" s="1"/>
  <c r="M120" i="5"/>
  <c r="P120" i="5" s="1"/>
  <c r="L120" i="5"/>
  <c r="S120" i="5" s="1"/>
  <c r="K120" i="5"/>
  <c r="J120" i="5"/>
  <c r="AA119" i="5"/>
  <c r="AB119" i="5" s="1"/>
  <c r="M119" i="5"/>
  <c r="O119" i="5" s="1"/>
  <c r="L119" i="5"/>
  <c r="S119" i="5" s="1"/>
  <c r="K119" i="5"/>
  <c r="J119" i="5"/>
  <c r="AA118" i="5"/>
  <c r="AB118" i="5" s="1"/>
  <c r="M118" i="5"/>
  <c r="P118" i="5" s="1"/>
  <c r="L118" i="5"/>
  <c r="S118" i="5" s="1"/>
  <c r="K118" i="5"/>
  <c r="J118" i="5"/>
  <c r="AA117" i="5"/>
  <c r="AB117" i="5" s="1"/>
  <c r="M117" i="5"/>
  <c r="P117" i="5" s="1"/>
  <c r="L117" i="5"/>
  <c r="S117" i="5" s="1"/>
  <c r="K117" i="5"/>
  <c r="J117" i="5"/>
  <c r="AA116" i="5"/>
  <c r="AB116" i="5" s="1"/>
  <c r="M116" i="5"/>
  <c r="P116" i="5" s="1"/>
  <c r="L116" i="5"/>
  <c r="S116" i="5" s="1"/>
  <c r="K116" i="5"/>
  <c r="J116" i="5"/>
  <c r="AA115" i="5"/>
  <c r="AB115" i="5" s="1"/>
  <c r="M115" i="5"/>
  <c r="P115" i="5" s="1"/>
  <c r="L115" i="5"/>
  <c r="S115" i="5" s="1"/>
  <c r="K115" i="5"/>
  <c r="J115" i="5"/>
  <c r="AA114" i="5"/>
  <c r="AB114" i="5" s="1"/>
  <c r="M114" i="5"/>
  <c r="L114" i="5"/>
  <c r="S114" i="5" s="1"/>
  <c r="K114" i="5"/>
  <c r="J114" i="5"/>
  <c r="AA113" i="5"/>
  <c r="AB113" i="5" s="1"/>
  <c r="X113" i="5"/>
  <c r="Y113" i="5" s="1"/>
  <c r="U113" i="5"/>
  <c r="V113" i="5" s="1"/>
  <c r="M113" i="5"/>
  <c r="P113" i="5" s="1"/>
  <c r="L113" i="5"/>
  <c r="S113" i="5" s="1"/>
  <c r="K113" i="5"/>
  <c r="J113" i="5"/>
  <c r="AA112" i="5"/>
  <c r="AB112" i="5" s="1"/>
  <c r="M112" i="5"/>
  <c r="P112" i="5" s="1"/>
  <c r="L112" i="5"/>
  <c r="S112" i="5" s="1"/>
  <c r="K112" i="5"/>
  <c r="J112" i="5"/>
  <c r="AA111" i="5"/>
  <c r="AB111" i="5" s="1"/>
  <c r="M111" i="5"/>
  <c r="O111" i="5" s="1"/>
  <c r="L111" i="5"/>
  <c r="S111" i="5" s="1"/>
  <c r="K111" i="5"/>
  <c r="J111" i="5"/>
  <c r="AA110" i="5"/>
  <c r="AB110" i="5" s="1"/>
  <c r="M110" i="5"/>
  <c r="O110" i="5" s="1"/>
  <c r="L110" i="5"/>
  <c r="S110" i="5" s="1"/>
  <c r="K110" i="5"/>
  <c r="J110" i="5"/>
  <c r="AA109" i="5"/>
  <c r="AB109" i="5" s="1"/>
  <c r="M109" i="5"/>
  <c r="O109" i="5" s="1"/>
  <c r="L109" i="5"/>
  <c r="S109" i="5" s="1"/>
  <c r="K109" i="5"/>
  <c r="J109" i="5"/>
  <c r="AA108" i="5"/>
  <c r="AB108" i="5" s="1"/>
  <c r="M108" i="5"/>
  <c r="P108" i="5" s="1"/>
  <c r="L108" i="5"/>
  <c r="S108" i="5" s="1"/>
  <c r="K108" i="5"/>
  <c r="J108" i="5"/>
  <c r="AA107" i="5"/>
  <c r="AB107" i="5" s="1"/>
  <c r="M107" i="5"/>
  <c r="P107" i="5" s="1"/>
  <c r="L107" i="5"/>
  <c r="S107" i="5" s="1"/>
  <c r="K107" i="5"/>
  <c r="J107" i="5"/>
  <c r="AA106" i="5"/>
  <c r="AB106" i="5" s="1"/>
  <c r="X106" i="5"/>
  <c r="Y106" i="5" s="1"/>
  <c r="U106" i="5"/>
  <c r="V106" i="5" s="1"/>
  <c r="M106" i="5"/>
  <c r="P106" i="5" s="1"/>
  <c r="L106" i="5"/>
  <c r="S106" i="5" s="1"/>
  <c r="K106" i="5"/>
  <c r="J106" i="5"/>
  <c r="AA105" i="5"/>
  <c r="AB105" i="5" s="1"/>
  <c r="M105" i="5"/>
  <c r="O105" i="5" s="1"/>
  <c r="L105" i="5"/>
  <c r="S105" i="5" s="1"/>
  <c r="K105" i="5"/>
  <c r="J105" i="5"/>
  <c r="AA104" i="5"/>
  <c r="AB104" i="5" s="1"/>
  <c r="M104" i="5"/>
  <c r="P104" i="5" s="1"/>
  <c r="L104" i="5"/>
  <c r="S104" i="5" s="1"/>
  <c r="K104" i="5"/>
  <c r="J104" i="5"/>
  <c r="AA103" i="5"/>
  <c r="AB103" i="5" s="1"/>
  <c r="M103" i="5"/>
  <c r="O103" i="5" s="1"/>
  <c r="L103" i="5"/>
  <c r="S103" i="5" s="1"/>
  <c r="K103" i="5"/>
  <c r="J103" i="5"/>
  <c r="AA102" i="5"/>
  <c r="AB102" i="5" s="1"/>
  <c r="M102" i="5"/>
  <c r="P102" i="5" s="1"/>
  <c r="L102" i="5"/>
  <c r="S102" i="5" s="1"/>
  <c r="K102" i="5"/>
  <c r="J102" i="5"/>
  <c r="AA101" i="5"/>
  <c r="AB101" i="5" s="1"/>
  <c r="M101" i="5"/>
  <c r="P101" i="5" s="1"/>
  <c r="L101" i="5"/>
  <c r="S101" i="5" s="1"/>
  <c r="K101" i="5"/>
  <c r="J101" i="5"/>
  <c r="AA100" i="5"/>
  <c r="AB100" i="5" s="1"/>
  <c r="M100" i="5"/>
  <c r="P100" i="5" s="1"/>
  <c r="L100" i="5"/>
  <c r="S100" i="5" s="1"/>
  <c r="K100" i="5"/>
  <c r="J100" i="5"/>
  <c r="AA99" i="5"/>
  <c r="AB99" i="5" s="1"/>
  <c r="M99" i="5"/>
  <c r="N99" i="5" s="1"/>
  <c r="L99" i="5"/>
  <c r="S99" i="5" s="1"/>
  <c r="K99" i="5"/>
  <c r="J99" i="5"/>
  <c r="AA98" i="5"/>
  <c r="AB98" i="5" s="1"/>
  <c r="X98" i="5"/>
  <c r="Y98" i="5" s="1"/>
  <c r="U98" i="5"/>
  <c r="V98" i="5" s="1"/>
  <c r="M98" i="5"/>
  <c r="O98" i="5" s="1"/>
  <c r="L98" i="5"/>
  <c r="S98" i="5" s="1"/>
  <c r="K98" i="5"/>
  <c r="J98" i="5"/>
  <c r="AA97" i="5"/>
  <c r="AB97" i="5" s="1"/>
  <c r="X97" i="5"/>
  <c r="Y97" i="5" s="1"/>
  <c r="U97" i="5"/>
  <c r="V97" i="5" s="1"/>
  <c r="M97" i="5"/>
  <c r="P97" i="5" s="1"/>
  <c r="L97" i="5"/>
  <c r="S97" i="5" s="1"/>
  <c r="K97" i="5"/>
  <c r="J97" i="5"/>
  <c r="AA96" i="5"/>
  <c r="AB96" i="5" s="1"/>
  <c r="X96" i="5"/>
  <c r="Y96" i="5" s="1"/>
  <c r="U96" i="5"/>
  <c r="V96" i="5" s="1"/>
  <c r="M96" i="5"/>
  <c r="P96" i="5" s="1"/>
  <c r="L96" i="5"/>
  <c r="S96" i="5" s="1"/>
  <c r="K96" i="5"/>
  <c r="J96" i="5"/>
  <c r="AA95" i="5"/>
  <c r="AB95" i="5" s="1"/>
  <c r="X95" i="5"/>
  <c r="Y95" i="5" s="1"/>
  <c r="U95" i="5"/>
  <c r="V95" i="5" s="1"/>
  <c r="M95" i="5"/>
  <c r="N95" i="5" s="1"/>
  <c r="L95" i="5"/>
  <c r="S95" i="5" s="1"/>
  <c r="K95" i="5"/>
  <c r="J95" i="5"/>
  <c r="AA94" i="5"/>
  <c r="AB94" i="5" s="1"/>
  <c r="M94" i="5"/>
  <c r="N94" i="5" s="1"/>
  <c r="L94" i="5"/>
  <c r="S94" i="5" s="1"/>
  <c r="K94" i="5"/>
  <c r="J94" i="5"/>
  <c r="AA93" i="5"/>
  <c r="AB93" i="5" s="1"/>
  <c r="M93" i="5"/>
  <c r="P93" i="5" s="1"/>
  <c r="L93" i="5"/>
  <c r="S93" i="5" s="1"/>
  <c r="K93" i="5"/>
  <c r="J93" i="5"/>
  <c r="AA92" i="5"/>
  <c r="AB92" i="5" s="1"/>
  <c r="M92" i="5"/>
  <c r="N92" i="5" s="1"/>
  <c r="L92" i="5"/>
  <c r="S92" i="5" s="1"/>
  <c r="K92" i="5"/>
  <c r="J92" i="5"/>
  <c r="AA91" i="5"/>
  <c r="AB91" i="5" s="1"/>
  <c r="X91" i="5"/>
  <c r="Y91" i="5" s="1"/>
  <c r="U91" i="5"/>
  <c r="V91" i="5" s="1"/>
  <c r="M91" i="5"/>
  <c r="P91" i="5" s="1"/>
  <c r="L91" i="5"/>
  <c r="S91" i="5" s="1"/>
  <c r="K91" i="5"/>
  <c r="J91" i="5"/>
  <c r="AA90" i="5"/>
  <c r="AB90" i="5" s="1"/>
  <c r="X90" i="5"/>
  <c r="Y90" i="5" s="1"/>
  <c r="U90" i="5"/>
  <c r="V90" i="5" s="1"/>
  <c r="M90" i="5"/>
  <c r="N90" i="5" s="1"/>
  <c r="L90" i="5"/>
  <c r="S90" i="5" s="1"/>
  <c r="K90" i="5"/>
  <c r="J90" i="5"/>
  <c r="AA89" i="5"/>
  <c r="AB89" i="5" s="1"/>
  <c r="M89" i="5"/>
  <c r="N89" i="5" s="1"/>
  <c r="L89" i="5"/>
  <c r="S89" i="5" s="1"/>
  <c r="K89" i="5"/>
  <c r="J89" i="5"/>
  <c r="AA88" i="5"/>
  <c r="AB88" i="5" s="1"/>
  <c r="M88" i="5"/>
  <c r="L88" i="5"/>
  <c r="S88" i="5" s="1"/>
  <c r="K88" i="5"/>
  <c r="J88" i="5"/>
  <c r="AA87" i="5"/>
  <c r="AB87" i="5" s="1"/>
  <c r="M87" i="5"/>
  <c r="O87" i="5" s="1"/>
  <c r="L87" i="5"/>
  <c r="S87" i="5" s="1"/>
  <c r="K87" i="5"/>
  <c r="J87" i="5"/>
  <c r="AA86" i="5"/>
  <c r="AB86" i="5" s="1"/>
  <c r="M86" i="5"/>
  <c r="P86" i="5" s="1"/>
  <c r="L86" i="5"/>
  <c r="S86" i="5" s="1"/>
  <c r="K86" i="5"/>
  <c r="J86" i="5"/>
  <c r="AA85" i="5"/>
  <c r="AB85" i="5" s="1"/>
  <c r="M85" i="5"/>
  <c r="P85" i="5" s="1"/>
  <c r="L85" i="5"/>
  <c r="S85" i="5" s="1"/>
  <c r="K85" i="5"/>
  <c r="J85" i="5"/>
  <c r="AA84" i="5"/>
  <c r="AB84" i="5" s="1"/>
  <c r="M84" i="5"/>
  <c r="N84" i="5" s="1"/>
  <c r="L84" i="5"/>
  <c r="S84" i="5" s="1"/>
  <c r="K84" i="5"/>
  <c r="J84" i="5"/>
  <c r="AA83" i="5"/>
  <c r="AB83" i="5" s="1"/>
  <c r="M83" i="5"/>
  <c r="L83" i="5"/>
  <c r="S83" i="5" s="1"/>
  <c r="K83" i="5"/>
  <c r="J83" i="5"/>
  <c r="AA82" i="5"/>
  <c r="AB82" i="5" s="1"/>
  <c r="M82" i="5"/>
  <c r="P82" i="5" s="1"/>
  <c r="L82" i="5"/>
  <c r="S82" i="5" s="1"/>
  <c r="K82" i="5"/>
  <c r="J82" i="5"/>
  <c r="AA81" i="5"/>
  <c r="AB81" i="5" s="1"/>
  <c r="X81" i="5"/>
  <c r="Y81" i="5" s="1"/>
  <c r="U81" i="5"/>
  <c r="V81" i="5" s="1"/>
  <c r="M81" i="5"/>
  <c r="P81" i="5" s="1"/>
  <c r="L81" i="5"/>
  <c r="S81" i="5" s="1"/>
  <c r="K81" i="5"/>
  <c r="J81" i="5"/>
  <c r="AA80" i="5"/>
  <c r="AB80" i="5" s="1"/>
  <c r="X80" i="5"/>
  <c r="Y80" i="5" s="1"/>
  <c r="U80" i="5"/>
  <c r="V80" i="5" s="1"/>
  <c r="M80" i="5"/>
  <c r="P80" i="5" s="1"/>
  <c r="L80" i="5"/>
  <c r="S80" i="5" s="1"/>
  <c r="K80" i="5"/>
  <c r="J80" i="5"/>
  <c r="AA79" i="5"/>
  <c r="AB79" i="5" s="1"/>
  <c r="M79" i="5"/>
  <c r="P79" i="5" s="1"/>
  <c r="L79" i="5"/>
  <c r="S79" i="5" s="1"/>
  <c r="K79" i="5"/>
  <c r="J79" i="5"/>
  <c r="AA78" i="5"/>
  <c r="AB78" i="5" s="1"/>
  <c r="X78" i="5"/>
  <c r="Y78" i="5" s="1"/>
  <c r="U78" i="5"/>
  <c r="V78" i="5" s="1"/>
  <c r="M78" i="5"/>
  <c r="O78" i="5" s="1"/>
  <c r="L78" i="5"/>
  <c r="S78" i="5" s="1"/>
  <c r="K78" i="5"/>
  <c r="J78" i="5"/>
  <c r="AA77" i="5"/>
  <c r="AB77" i="5" s="1"/>
  <c r="X77" i="5"/>
  <c r="Y77" i="5" s="1"/>
  <c r="U77" i="5"/>
  <c r="V77" i="5" s="1"/>
  <c r="M77" i="5"/>
  <c r="O77" i="5" s="1"/>
  <c r="L77" i="5"/>
  <c r="S77" i="5" s="1"/>
  <c r="K77" i="5"/>
  <c r="J77" i="5"/>
  <c r="AA76" i="5"/>
  <c r="AB76" i="5" s="1"/>
  <c r="M76" i="5"/>
  <c r="N76" i="5" s="1"/>
  <c r="L76" i="5"/>
  <c r="S76" i="5" s="1"/>
  <c r="K76" i="5"/>
  <c r="J76" i="5"/>
  <c r="AA75" i="5"/>
  <c r="AB75" i="5" s="1"/>
  <c r="M75" i="5"/>
  <c r="L75" i="5"/>
  <c r="S75" i="5" s="1"/>
  <c r="K75" i="5"/>
  <c r="J75" i="5"/>
  <c r="AA74" i="5"/>
  <c r="AB74" i="5" s="1"/>
  <c r="M74" i="5"/>
  <c r="O74" i="5" s="1"/>
  <c r="L74" i="5"/>
  <c r="S74" i="5" s="1"/>
  <c r="K74" i="5"/>
  <c r="J74" i="5"/>
  <c r="AA73" i="5"/>
  <c r="AB73" i="5" s="1"/>
  <c r="M73" i="5"/>
  <c r="L73" i="5"/>
  <c r="S73" i="5" s="1"/>
  <c r="K73" i="5"/>
  <c r="J73" i="5"/>
  <c r="AA72" i="5"/>
  <c r="AB72" i="5" s="1"/>
  <c r="M72" i="5"/>
  <c r="P72" i="5" s="1"/>
  <c r="L72" i="5"/>
  <c r="S72" i="5" s="1"/>
  <c r="K72" i="5"/>
  <c r="J72" i="5"/>
  <c r="AA71" i="5"/>
  <c r="AB71" i="5" s="1"/>
  <c r="X71" i="5"/>
  <c r="Y71" i="5" s="1"/>
  <c r="U71" i="5"/>
  <c r="V71" i="5" s="1"/>
  <c r="M71" i="5"/>
  <c r="P71" i="5" s="1"/>
  <c r="L71" i="5"/>
  <c r="S71" i="5" s="1"/>
  <c r="K71" i="5"/>
  <c r="J71" i="5"/>
  <c r="AA70" i="5"/>
  <c r="AB70" i="5" s="1"/>
  <c r="M70" i="5"/>
  <c r="N70" i="5" s="1"/>
  <c r="L70" i="5"/>
  <c r="S70" i="5" s="1"/>
  <c r="K70" i="5"/>
  <c r="J70" i="5"/>
  <c r="AA69" i="5"/>
  <c r="AB69" i="5" s="1"/>
  <c r="M69" i="5"/>
  <c r="P69" i="5" s="1"/>
  <c r="L69" i="5"/>
  <c r="S69" i="5" s="1"/>
  <c r="K69" i="5"/>
  <c r="J69" i="5"/>
  <c r="AA68" i="5"/>
  <c r="AB68" i="5" s="1"/>
  <c r="X68" i="5"/>
  <c r="Y68" i="5" s="1"/>
  <c r="U68" i="5"/>
  <c r="V68" i="5" s="1"/>
  <c r="M68" i="5"/>
  <c r="P68" i="5" s="1"/>
  <c r="L68" i="5"/>
  <c r="S68" i="5" s="1"/>
  <c r="K68" i="5"/>
  <c r="J68" i="5"/>
  <c r="AA67" i="5"/>
  <c r="AB67" i="5" s="1"/>
  <c r="M67" i="5"/>
  <c r="L67" i="5"/>
  <c r="S67" i="5" s="1"/>
  <c r="K67" i="5"/>
  <c r="J67" i="5"/>
  <c r="AA66" i="5"/>
  <c r="AB66" i="5" s="1"/>
  <c r="M66" i="5"/>
  <c r="P66" i="5" s="1"/>
  <c r="L66" i="5"/>
  <c r="S66" i="5" s="1"/>
  <c r="K66" i="5"/>
  <c r="J66" i="5"/>
  <c r="AA65" i="5"/>
  <c r="AB65" i="5" s="1"/>
  <c r="X65" i="5"/>
  <c r="Y65" i="5" s="1"/>
  <c r="U65" i="5"/>
  <c r="V65" i="5" s="1"/>
  <c r="M65" i="5"/>
  <c r="P65" i="5" s="1"/>
  <c r="L65" i="5"/>
  <c r="S65" i="5" s="1"/>
  <c r="K65" i="5"/>
  <c r="J65" i="5"/>
  <c r="AA64" i="5"/>
  <c r="AB64" i="5" s="1"/>
  <c r="X64" i="5"/>
  <c r="Y64" i="5" s="1"/>
  <c r="U64" i="5"/>
  <c r="V64" i="5" s="1"/>
  <c r="M64" i="5"/>
  <c r="P64" i="5" s="1"/>
  <c r="L64" i="5"/>
  <c r="S64" i="5" s="1"/>
  <c r="K64" i="5"/>
  <c r="J64" i="5"/>
  <c r="AA63" i="5"/>
  <c r="AB63" i="5" s="1"/>
  <c r="X63" i="5"/>
  <c r="Y63" i="5" s="1"/>
  <c r="U63" i="5"/>
  <c r="V63" i="5" s="1"/>
  <c r="M63" i="5"/>
  <c r="P63" i="5" s="1"/>
  <c r="L63" i="5"/>
  <c r="S63" i="5" s="1"/>
  <c r="K63" i="5"/>
  <c r="J63" i="5"/>
  <c r="AA62" i="5"/>
  <c r="AB62" i="5" s="1"/>
  <c r="X62" i="5"/>
  <c r="Y62" i="5" s="1"/>
  <c r="U62" i="5"/>
  <c r="V62" i="5" s="1"/>
  <c r="M62" i="5"/>
  <c r="P62" i="5" s="1"/>
  <c r="L62" i="5"/>
  <c r="S62" i="5" s="1"/>
  <c r="K62" i="5"/>
  <c r="J62" i="5"/>
  <c r="AA61" i="5"/>
  <c r="AB61" i="5" s="1"/>
  <c r="X61" i="5"/>
  <c r="Y61" i="5" s="1"/>
  <c r="U61" i="5"/>
  <c r="V61" i="5" s="1"/>
  <c r="M61" i="5"/>
  <c r="L61" i="5"/>
  <c r="S61" i="5" s="1"/>
  <c r="K61" i="5"/>
  <c r="J61" i="5"/>
  <c r="AA60" i="5"/>
  <c r="AB60" i="5" s="1"/>
  <c r="X60" i="5"/>
  <c r="Y60" i="5" s="1"/>
  <c r="U60" i="5"/>
  <c r="V60" i="5" s="1"/>
  <c r="M60" i="5"/>
  <c r="P60" i="5" s="1"/>
  <c r="L60" i="5"/>
  <c r="S60" i="5" s="1"/>
  <c r="K60" i="5"/>
  <c r="J60" i="5"/>
  <c r="AA59" i="5"/>
  <c r="AB59" i="5" s="1"/>
  <c r="X59" i="5"/>
  <c r="Y59" i="5" s="1"/>
  <c r="U59" i="5"/>
  <c r="V59" i="5" s="1"/>
  <c r="M59" i="5"/>
  <c r="P59" i="5" s="1"/>
  <c r="L59" i="5"/>
  <c r="S59" i="5" s="1"/>
  <c r="K59" i="5"/>
  <c r="J59" i="5"/>
  <c r="AA58" i="5"/>
  <c r="AB58" i="5" s="1"/>
  <c r="X58" i="5"/>
  <c r="Y58" i="5" s="1"/>
  <c r="U58" i="5"/>
  <c r="V58" i="5" s="1"/>
  <c r="M58" i="5"/>
  <c r="L58" i="5"/>
  <c r="S58" i="5" s="1"/>
  <c r="K58" i="5"/>
  <c r="J58" i="5"/>
  <c r="AA57" i="5"/>
  <c r="AB57" i="5" s="1"/>
  <c r="X57" i="5"/>
  <c r="Y57" i="5" s="1"/>
  <c r="U57" i="5"/>
  <c r="V57" i="5" s="1"/>
  <c r="M57" i="5"/>
  <c r="P57" i="5" s="1"/>
  <c r="L57" i="5"/>
  <c r="S57" i="5" s="1"/>
  <c r="K57" i="5"/>
  <c r="J57" i="5"/>
  <c r="AA56" i="5"/>
  <c r="AB56" i="5" s="1"/>
  <c r="X56" i="5"/>
  <c r="Y56" i="5" s="1"/>
  <c r="U56" i="5"/>
  <c r="V56" i="5" s="1"/>
  <c r="M56" i="5"/>
  <c r="P56" i="5" s="1"/>
  <c r="L56" i="5"/>
  <c r="S56" i="5" s="1"/>
  <c r="K56" i="5"/>
  <c r="J56" i="5"/>
  <c r="AA55" i="5"/>
  <c r="AB55" i="5" s="1"/>
  <c r="M55" i="5"/>
  <c r="P55" i="5" s="1"/>
  <c r="L55" i="5"/>
  <c r="S55" i="5" s="1"/>
  <c r="K55" i="5"/>
  <c r="J55" i="5"/>
  <c r="AA54" i="5"/>
  <c r="AB54" i="5" s="1"/>
  <c r="M54" i="5"/>
  <c r="O54" i="5" s="1"/>
  <c r="L54" i="5"/>
  <c r="S54" i="5" s="1"/>
  <c r="K54" i="5"/>
  <c r="J54" i="5"/>
  <c r="AA53" i="5"/>
  <c r="AB53" i="5" s="1"/>
  <c r="M53" i="5"/>
  <c r="P53" i="5" s="1"/>
  <c r="L53" i="5"/>
  <c r="S53" i="5" s="1"/>
  <c r="K53" i="5"/>
  <c r="J53" i="5"/>
  <c r="AA52" i="5"/>
  <c r="AB52" i="5" s="1"/>
  <c r="M52" i="5"/>
  <c r="P52" i="5" s="1"/>
  <c r="L52" i="5"/>
  <c r="S52" i="5" s="1"/>
  <c r="K52" i="5"/>
  <c r="J52" i="5"/>
  <c r="AA51" i="5"/>
  <c r="AB51" i="5" s="1"/>
  <c r="M51" i="5"/>
  <c r="P51" i="5" s="1"/>
  <c r="L51" i="5"/>
  <c r="S51" i="5" s="1"/>
  <c r="K51" i="5"/>
  <c r="J51" i="5"/>
  <c r="AA50" i="5"/>
  <c r="AB50" i="5" s="1"/>
  <c r="M50" i="5"/>
  <c r="N50" i="5" s="1"/>
  <c r="L50" i="5"/>
  <c r="S50" i="5" s="1"/>
  <c r="K50" i="5"/>
  <c r="J50" i="5"/>
  <c r="AA49" i="5"/>
  <c r="AB49" i="5" s="1"/>
  <c r="X49" i="5"/>
  <c r="Y49" i="5" s="1"/>
  <c r="U49" i="5"/>
  <c r="V49" i="5" s="1"/>
  <c r="M49" i="5"/>
  <c r="N49" i="5" s="1"/>
  <c r="L49" i="5"/>
  <c r="S49" i="5" s="1"/>
  <c r="K49" i="5"/>
  <c r="J49" i="5"/>
  <c r="AA48" i="5"/>
  <c r="AB48" i="5" s="1"/>
  <c r="M48" i="5"/>
  <c r="N48" i="5" s="1"/>
  <c r="L48" i="5"/>
  <c r="S48" i="5" s="1"/>
  <c r="K48" i="5"/>
  <c r="J48" i="5"/>
  <c r="AA47" i="5"/>
  <c r="AB47" i="5" s="1"/>
  <c r="M47" i="5"/>
  <c r="L47" i="5"/>
  <c r="S47" i="5" s="1"/>
  <c r="K47" i="5"/>
  <c r="J47" i="5"/>
  <c r="AA46" i="5"/>
  <c r="AB46" i="5" s="1"/>
  <c r="X46" i="5"/>
  <c r="Y46" i="5" s="1"/>
  <c r="U46" i="5"/>
  <c r="V46" i="5" s="1"/>
  <c r="M46" i="5"/>
  <c r="N46" i="5" s="1"/>
  <c r="L46" i="5"/>
  <c r="S46" i="5" s="1"/>
  <c r="K46" i="5"/>
  <c r="J46" i="5"/>
  <c r="AA45" i="5"/>
  <c r="AB45" i="5" s="1"/>
  <c r="M45" i="5"/>
  <c r="P45" i="5" s="1"/>
  <c r="L45" i="5"/>
  <c r="S45" i="5" s="1"/>
  <c r="K45" i="5"/>
  <c r="J45" i="5"/>
  <c r="AA44" i="5"/>
  <c r="AB44" i="5" s="1"/>
  <c r="X44" i="5"/>
  <c r="Y44" i="5" s="1"/>
  <c r="U44" i="5"/>
  <c r="V44" i="5" s="1"/>
  <c r="M44" i="5"/>
  <c r="O44" i="5" s="1"/>
  <c r="L44" i="5"/>
  <c r="S44" i="5" s="1"/>
  <c r="K44" i="5"/>
  <c r="J44" i="5"/>
  <c r="AA43" i="5"/>
  <c r="AB43" i="5" s="1"/>
  <c r="X43" i="5"/>
  <c r="Y43" i="5" s="1"/>
  <c r="U43" i="5"/>
  <c r="V43" i="5" s="1"/>
  <c r="M43" i="5"/>
  <c r="P43" i="5" s="1"/>
  <c r="L43" i="5"/>
  <c r="S43" i="5" s="1"/>
  <c r="K43" i="5"/>
  <c r="J43" i="5"/>
  <c r="AA42" i="5"/>
  <c r="AB42" i="5" s="1"/>
  <c r="M42" i="5"/>
  <c r="P42" i="5" s="1"/>
  <c r="L42" i="5"/>
  <c r="S42" i="5" s="1"/>
  <c r="K42" i="5"/>
  <c r="J42" i="5"/>
  <c r="AA41" i="5"/>
  <c r="AB41" i="5" s="1"/>
  <c r="M41" i="5"/>
  <c r="P41" i="5" s="1"/>
  <c r="L41" i="5"/>
  <c r="S41" i="5" s="1"/>
  <c r="K41" i="5"/>
  <c r="J41" i="5"/>
  <c r="AA40" i="5"/>
  <c r="AB40" i="5" s="1"/>
  <c r="M40" i="5"/>
  <c r="P40" i="5" s="1"/>
  <c r="L40" i="5"/>
  <c r="S40" i="5" s="1"/>
  <c r="K40" i="5"/>
  <c r="J40" i="5"/>
  <c r="AA39" i="5"/>
  <c r="AB39" i="5" s="1"/>
  <c r="X39" i="5"/>
  <c r="Y39" i="5" s="1"/>
  <c r="U39" i="5"/>
  <c r="V39" i="5" s="1"/>
  <c r="M39" i="5"/>
  <c r="O39" i="5" s="1"/>
  <c r="L39" i="5"/>
  <c r="S39" i="5" s="1"/>
  <c r="K39" i="5"/>
  <c r="J39" i="5"/>
  <c r="AA38" i="5"/>
  <c r="AB38" i="5" s="1"/>
  <c r="M38" i="5"/>
  <c r="L38" i="5"/>
  <c r="S38" i="5" s="1"/>
  <c r="K38" i="5"/>
  <c r="J38" i="5"/>
  <c r="AA37" i="5"/>
  <c r="AB37" i="5" s="1"/>
  <c r="M37" i="5"/>
  <c r="P37" i="5" s="1"/>
  <c r="L37" i="5"/>
  <c r="S37" i="5" s="1"/>
  <c r="K37" i="5"/>
  <c r="J37" i="5"/>
  <c r="AA36" i="5"/>
  <c r="AB36" i="5" s="1"/>
  <c r="X36" i="5"/>
  <c r="Y36" i="5" s="1"/>
  <c r="U36" i="5"/>
  <c r="V36" i="5" s="1"/>
  <c r="M36" i="5"/>
  <c r="O36" i="5" s="1"/>
  <c r="L36" i="5"/>
  <c r="S36" i="5" s="1"/>
  <c r="K36" i="5"/>
  <c r="J36" i="5"/>
  <c r="AA35" i="5"/>
  <c r="AB35" i="5" s="1"/>
  <c r="X35" i="5"/>
  <c r="Y35" i="5" s="1"/>
  <c r="U35" i="5"/>
  <c r="V35" i="5" s="1"/>
  <c r="M35" i="5"/>
  <c r="P35" i="5" s="1"/>
  <c r="L35" i="5"/>
  <c r="S35" i="5" s="1"/>
  <c r="K35" i="5"/>
  <c r="J35" i="5"/>
  <c r="AA34" i="5"/>
  <c r="AB34" i="5" s="1"/>
  <c r="M34" i="5"/>
  <c r="O34" i="5" s="1"/>
  <c r="L34" i="5"/>
  <c r="S34" i="5" s="1"/>
  <c r="K34" i="5"/>
  <c r="J34" i="5"/>
  <c r="AA33" i="5"/>
  <c r="AB33" i="5" s="1"/>
  <c r="X33" i="5"/>
  <c r="Y33" i="5" s="1"/>
  <c r="U33" i="5"/>
  <c r="V33" i="5" s="1"/>
  <c r="M33" i="5"/>
  <c r="O33" i="5" s="1"/>
  <c r="L33" i="5"/>
  <c r="S33" i="5" s="1"/>
  <c r="K33" i="5"/>
  <c r="J33" i="5"/>
  <c r="AA32" i="5"/>
  <c r="AB32" i="5" s="1"/>
  <c r="X32" i="5"/>
  <c r="Y32" i="5" s="1"/>
  <c r="U32" i="5"/>
  <c r="V32" i="5" s="1"/>
  <c r="M32" i="5"/>
  <c r="P32" i="5" s="1"/>
  <c r="L32" i="5"/>
  <c r="S32" i="5" s="1"/>
  <c r="K32" i="5"/>
  <c r="J32" i="5"/>
  <c r="AA31" i="5"/>
  <c r="AB31" i="5" s="1"/>
  <c r="X31" i="5"/>
  <c r="Y31" i="5" s="1"/>
  <c r="U31" i="5"/>
  <c r="V31" i="5" s="1"/>
  <c r="M31" i="5"/>
  <c r="P31" i="5" s="1"/>
  <c r="L31" i="5"/>
  <c r="S31" i="5" s="1"/>
  <c r="K31" i="5"/>
  <c r="J31" i="5"/>
  <c r="AA30" i="5"/>
  <c r="AB30" i="5" s="1"/>
  <c r="X30" i="5"/>
  <c r="Y30" i="5" s="1"/>
  <c r="U30" i="5"/>
  <c r="V30" i="5" s="1"/>
  <c r="M30" i="5"/>
  <c r="O30" i="5" s="1"/>
  <c r="L30" i="5"/>
  <c r="S30" i="5" s="1"/>
  <c r="K30" i="5"/>
  <c r="J30" i="5"/>
  <c r="AA29" i="5"/>
  <c r="AB29" i="5" s="1"/>
  <c r="M29" i="5"/>
  <c r="P29" i="5" s="1"/>
  <c r="L29" i="5"/>
  <c r="S29" i="5" s="1"/>
  <c r="K29" i="5"/>
  <c r="J29" i="5"/>
  <c r="AA28" i="5"/>
  <c r="AB28" i="5" s="1"/>
  <c r="M28" i="5"/>
  <c r="O28" i="5" s="1"/>
  <c r="L28" i="5"/>
  <c r="S28" i="5" s="1"/>
  <c r="K28" i="5"/>
  <c r="J28" i="5"/>
  <c r="AA27" i="5"/>
  <c r="AB27" i="5" s="1"/>
  <c r="M27" i="5"/>
  <c r="P27" i="5" s="1"/>
  <c r="L27" i="5"/>
  <c r="S27" i="5" s="1"/>
  <c r="K27" i="5"/>
  <c r="J27" i="5"/>
  <c r="AA26" i="5"/>
  <c r="AB26" i="5" s="1"/>
  <c r="X26" i="5"/>
  <c r="Y26" i="5" s="1"/>
  <c r="U26" i="5"/>
  <c r="V26" i="5" s="1"/>
  <c r="M26" i="5"/>
  <c r="L26" i="5"/>
  <c r="S26" i="5" s="1"/>
  <c r="K26" i="5"/>
  <c r="J26" i="5"/>
  <c r="AA25" i="5"/>
  <c r="AB25" i="5" s="1"/>
  <c r="X25" i="5"/>
  <c r="Y25" i="5" s="1"/>
  <c r="U25" i="5"/>
  <c r="V25" i="5" s="1"/>
  <c r="M25" i="5"/>
  <c r="P25" i="5" s="1"/>
  <c r="L25" i="5"/>
  <c r="S25" i="5" s="1"/>
  <c r="K25" i="5"/>
  <c r="J25" i="5"/>
  <c r="AA24" i="5"/>
  <c r="AB24" i="5" s="1"/>
  <c r="X24" i="5"/>
  <c r="Y24" i="5" s="1"/>
  <c r="U24" i="5"/>
  <c r="V24" i="5" s="1"/>
  <c r="M24" i="5"/>
  <c r="P24" i="5" s="1"/>
  <c r="L24" i="5"/>
  <c r="S24" i="5" s="1"/>
  <c r="K24" i="5"/>
  <c r="J24" i="5"/>
  <c r="AA23" i="5"/>
  <c r="AB23" i="5" s="1"/>
  <c r="X23" i="5"/>
  <c r="Y23" i="5" s="1"/>
  <c r="U23" i="5"/>
  <c r="V23" i="5" s="1"/>
  <c r="M23" i="5"/>
  <c r="P23" i="5" s="1"/>
  <c r="L23" i="5"/>
  <c r="S23" i="5" s="1"/>
  <c r="K23" i="5"/>
  <c r="J23" i="5"/>
  <c r="AA22" i="5"/>
  <c r="AB22" i="5" s="1"/>
  <c r="X22" i="5"/>
  <c r="Y22" i="5" s="1"/>
  <c r="U22" i="5"/>
  <c r="V22" i="5" s="1"/>
  <c r="M22" i="5"/>
  <c r="L22" i="5"/>
  <c r="S22" i="5" s="1"/>
  <c r="K22" i="5"/>
  <c r="J22" i="5"/>
  <c r="AA21" i="5"/>
  <c r="AB21" i="5" s="1"/>
  <c r="X21" i="5"/>
  <c r="Y21" i="5" s="1"/>
  <c r="U21" i="5"/>
  <c r="V21" i="5" s="1"/>
  <c r="M21" i="5"/>
  <c r="N21" i="5" s="1"/>
  <c r="L21" i="5"/>
  <c r="S21" i="5" s="1"/>
  <c r="K21" i="5"/>
  <c r="J21" i="5"/>
  <c r="AA20" i="5"/>
  <c r="AB20" i="5" s="1"/>
  <c r="X20" i="5"/>
  <c r="Y20" i="5" s="1"/>
  <c r="U20" i="5"/>
  <c r="V20" i="5" s="1"/>
  <c r="M20" i="5"/>
  <c r="N20" i="5" s="1"/>
  <c r="L20" i="5"/>
  <c r="S20" i="5" s="1"/>
  <c r="K20" i="5"/>
  <c r="J20" i="5"/>
  <c r="AA19" i="5"/>
  <c r="AB19" i="5" s="1"/>
  <c r="M19" i="5"/>
  <c r="P19" i="5" s="1"/>
  <c r="L19" i="5"/>
  <c r="S19" i="5" s="1"/>
  <c r="K19" i="5"/>
  <c r="J19" i="5"/>
  <c r="AA18" i="5"/>
  <c r="AB18" i="5" s="1"/>
  <c r="X18" i="5"/>
  <c r="Y18" i="5" s="1"/>
  <c r="U18" i="5"/>
  <c r="V18" i="5" s="1"/>
  <c r="M18" i="5"/>
  <c r="O18" i="5" s="1"/>
  <c r="L18" i="5"/>
  <c r="S18" i="5" s="1"/>
  <c r="K18" i="5"/>
  <c r="J18" i="5"/>
  <c r="AA17" i="5"/>
  <c r="AB17" i="5" s="1"/>
  <c r="M17" i="5"/>
  <c r="P17" i="5" s="1"/>
  <c r="L17" i="5"/>
  <c r="S17" i="5" s="1"/>
  <c r="K17" i="5"/>
  <c r="J17" i="5"/>
  <c r="AA16" i="5"/>
  <c r="AB16" i="5" s="1"/>
  <c r="X16" i="5"/>
  <c r="Y16" i="5" s="1"/>
  <c r="U16" i="5"/>
  <c r="V16" i="5" s="1"/>
  <c r="M16" i="5"/>
  <c r="P16" i="5" s="1"/>
  <c r="L16" i="5"/>
  <c r="S16" i="5" s="1"/>
  <c r="K16" i="5"/>
  <c r="J16" i="5"/>
  <c r="AA15" i="5"/>
  <c r="AB15" i="5" s="1"/>
  <c r="X15" i="5"/>
  <c r="Y15" i="5" s="1"/>
  <c r="U15" i="5"/>
  <c r="V15" i="5" s="1"/>
  <c r="M15" i="5"/>
  <c r="O15" i="5" s="1"/>
  <c r="L15" i="5"/>
  <c r="S15" i="5" s="1"/>
  <c r="K15" i="5"/>
  <c r="J15" i="5"/>
  <c r="AA14" i="5"/>
  <c r="AB14" i="5" s="1"/>
  <c r="M14" i="5"/>
  <c r="P14" i="5" s="1"/>
  <c r="L14" i="5"/>
  <c r="S14" i="5" s="1"/>
  <c r="K14" i="5"/>
  <c r="J14" i="5"/>
  <c r="AA13" i="5"/>
  <c r="AB13" i="5" s="1"/>
  <c r="X13" i="5"/>
  <c r="Y13" i="5" s="1"/>
  <c r="U13" i="5"/>
  <c r="V13" i="5" s="1"/>
  <c r="M13" i="5"/>
  <c r="N13" i="5" s="1"/>
  <c r="L13" i="5"/>
  <c r="S13" i="5" s="1"/>
  <c r="K13" i="5"/>
  <c r="J13" i="5"/>
  <c r="AA12" i="5"/>
  <c r="AB12" i="5" s="1"/>
  <c r="M12" i="5"/>
  <c r="O12" i="5" s="1"/>
  <c r="L12" i="5"/>
  <c r="S12" i="5" s="1"/>
  <c r="K12" i="5"/>
  <c r="J12" i="5"/>
  <c r="AA11" i="5"/>
  <c r="AB11" i="5" s="1"/>
  <c r="X11" i="5"/>
  <c r="Y11" i="5" s="1"/>
  <c r="U11" i="5"/>
  <c r="V11" i="5" s="1"/>
  <c r="M11" i="5"/>
  <c r="O11" i="5" s="1"/>
  <c r="L11" i="5"/>
  <c r="S11" i="5" s="1"/>
  <c r="K11" i="5"/>
  <c r="J11" i="5"/>
  <c r="AA10" i="5"/>
  <c r="AB10" i="5" s="1"/>
  <c r="M10" i="5"/>
  <c r="L10" i="5"/>
  <c r="S10" i="5" s="1"/>
  <c r="K10" i="5"/>
  <c r="J10" i="5"/>
  <c r="AA9" i="5"/>
  <c r="AB9" i="5" s="1"/>
  <c r="X9" i="5"/>
  <c r="Y9" i="5" s="1"/>
  <c r="U9" i="5"/>
  <c r="V9" i="5" s="1"/>
  <c r="M9" i="5"/>
  <c r="P9" i="5" s="1"/>
  <c r="L9" i="5"/>
  <c r="S9" i="5" s="1"/>
  <c r="K9" i="5"/>
  <c r="J9" i="5"/>
  <c r="AA8" i="5"/>
  <c r="AB8" i="5" s="1"/>
  <c r="M8" i="5"/>
  <c r="P8" i="5" s="1"/>
  <c r="L8" i="5"/>
  <c r="S8" i="5" s="1"/>
  <c r="K8" i="5"/>
  <c r="J8" i="5"/>
  <c r="AA7" i="5"/>
  <c r="AB7" i="5" s="1"/>
  <c r="X7" i="5"/>
  <c r="Y7" i="5" s="1"/>
  <c r="U7" i="5"/>
  <c r="V7" i="5" s="1"/>
  <c r="M7" i="5"/>
  <c r="P7" i="5" s="1"/>
  <c r="L7" i="5"/>
  <c r="S7" i="5" s="1"/>
  <c r="K7" i="5"/>
  <c r="J7" i="5"/>
  <c r="AA6" i="5"/>
  <c r="AB6" i="5" s="1"/>
  <c r="X6" i="5"/>
  <c r="Y6" i="5" s="1"/>
  <c r="U6" i="5"/>
  <c r="V6" i="5" s="1"/>
  <c r="M6" i="5"/>
  <c r="O6" i="5" s="1"/>
  <c r="L6" i="5"/>
  <c r="S6" i="5" s="1"/>
  <c r="K6" i="5"/>
  <c r="J6" i="5"/>
  <c r="AA5" i="5"/>
  <c r="AB5" i="5" s="1"/>
  <c r="M5" i="5"/>
  <c r="L5" i="5"/>
  <c r="S5" i="5" s="1"/>
  <c r="K5" i="5"/>
  <c r="J5" i="5"/>
  <c r="AA4" i="5"/>
  <c r="AB4" i="5" s="1"/>
  <c r="M4" i="5"/>
  <c r="P4" i="5" s="1"/>
  <c r="L4" i="5"/>
  <c r="S4" i="5" s="1"/>
  <c r="AA3" i="5"/>
  <c r="AB3" i="5" s="1"/>
  <c r="X3" i="5"/>
  <c r="Y3" i="5" s="1"/>
  <c r="U3" i="5"/>
  <c r="V3" i="5" s="1"/>
  <c r="M3" i="5"/>
  <c r="L3" i="5"/>
  <c r="S3" i="5" s="1"/>
  <c r="K3" i="5"/>
  <c r="J3" i="5"/>
  <c r="AA2" i="5"/>
  <c r="AB2" i="5" s="1"/>
  <c r="M2" i="5"/>
  <c r="N2" i="5" s="1"/>
  <c r="L2" i="5"/>
  <c r="S2" i="5" s="1"/>
  <c r="K2" i="5"/>
  <c r="J2" i="5"/>
  <c r="N79" i="5" l="1"/>
  <c r="Q79" i="5" s="1"/>
  <c r="O79" i="5"/>
  <c r="O94" i="5"/>
  <c r="P94" i="5"/>
  <c r="Q94" i="5" s="1"/>
  <c r="O20" i="5"/>
  <c r="N28" i="5"/>
  <c r="P28" i="5"/>
  <c r="Q28" i="5" s="1"/>
  <c r="O92" i="5"/>
  <c r="P122" i="5"/>
  <c r="N8" i="5"/>
  <c r="Q8" i="5" s="1"/>
  <c r="P54" i="5"/>
  <c r="P92" i="5"/>
  <c r="O8" i="5"/>
  <c r="O48" i="5"/>
  <c r="O70" i="5"/>
  <c r="N45" i="5"/>
  <c r="Q45" i="5" s="1"/>
  <c r="P70" i="5"/>
  <c r="Q70" i="5" s="1"/>
  <c r="O45" i="5"/>
  <c r="P74" i="5"/>
  <c r="N127" i="5"/>
  <c r="N122" i="5"/>
  <c r="P127" i="5"/>
  <c r="P20" i="5"/>
  <c r="Q20" i="5" s="1"/>
  <c r="O132" i="5"/>
  <c r="O89" i="5"/>
  <c r="N130" i="5"/>
  <c r="Q130" i="5" s="1"/>
  <c r="N54" i="5"/>
  <c r="P89" i="5"/>
  <c r="Q89" i="5" s="1"/>
  <c r="O130" i="5"/>
  <c r="N87" i="5"/>
  <c r="N37" i="5"/>
  <c r="Q37" i="5" s="1"/>
  <c r="N81" i="5"/>
  <c r="Q81" i="5" s="1"/>
  <c r="P123" i="5"/>
  <c r="O131" i="5"/>
  <c r="P15" i="5"/>
  <c r="P87" i="5"/>
  <c r="N131" i="5"/>
  <c r="Q131" i="5" s="1"/>
  <c r="O37" i="5"/>
  <c r="O76" i="5"/>
  <c r="O81" i="5"/>
  <c r="P105" i="5"/>
  <c r="O57" i="5"/>
  <c r="P12" i="5"/>
  <c r="P34" i="5"/>
  <c r="P111" i="5"/>
  <c r="N123" i="5"/>
  <c r="O32" i="5"/>
  <c r="P76" i="5"/>
  <c r="Q76" i="5" s="1"/>
  <c r="N12" i="5"/>
  <c r="Q12" i="5" s="1"/>
  <c r="O35" i="5"/>
  <c r="O53" i="5"/>
  <c r="O112" i="5"/>
  <c r="Q92" i="5"/>
  <c r="N112" i="5"/>
  <c r="Q112" i="5" s="1"/>
  <c r="N132" i="5"/>
  <c r="Q132" i="5" s="1"/>
  <c r="O24" i="5"/>
  <c r="P48" i="5"/>
  <c r="Q48" i="5" s="1"/>
  <c r="N31" i="5"/>
  <c r="Q31" i="5" s="1"/>
  <c r="N40" i="5"/>
  <c r="Q40" i="5" s="1"/>
  <c r="N63" i="5"/>
  <c r="Q63" i="5" s="1"/>
  <c r="P128" i="5"/>
  <c r="N51" i="5"/>
  <c r="Q51" i="5" s="1"/>
  <c r="N9" i="5"/>
  <c r="Q9" i="5" s="1"/>
  <c r="P18" i="5"/>
  <c r="O40" i="5"/>
  <c r="N56" i="5"/>
  <c r="Q56" i="5" s="1"/>
  <c r="N96" i="5"/>
  <c r="Q96" i="5" s="1"/>
  <c r="P98" i="5"/>
  <c r="N117" i="5"/>
  <c r="Q117" i="5" s="1"/>
  <c r="P11" i="5"/>
  <c r="O9" i="5"/>
  <c r="O96" i="5"/>
  <c r="O117" i="5"/>
  <c r="P109" i="5"/>
  <c r="N25" i="5"/>
  <c r="Q25" i="5" s="1"/>
  <c r="N115" i="5"/>
  <c r="Q115" i="5" s="1"/>
  <c r="O14" i="5"/>
  <c r="P21" i="5"/>
  <c r="Q21" i="5" s="1"/>
  <c r="O25" i="5"/>
  <c r="N27" i="5"/>
  <c r="Q27" i="5" s="1"/>
  <c r="N36" i="5"/>
  <c r="O52" i="5"/>
  <c r="N69" i="5"/>
  <c r="Q69" i="5" s="1"/>
  <c r="N107" i="5"/>
  <c r="Q107" i="5" s="1"/>
  <c r="O115" i="5"/>
  <c r="N129" i="5"/>
  <c r="Q129" i="5" s="1"/>
  <c r="O21" i="5"/>
  <c r="N52" i="5"/>
  <c r="Q52" i="5" s="1"/>
  <c r="O66" i="5"/>
  <c r="P134" i="5"/>
  <c r="O27" i="5"/>
  <c r="P36" i="5"/>
  <c r="P44" i="5"/>
  <c r="N59" i="5"/>
  <c r="Q59" i="5" s="1"/>
  <c r="O69" i="5"/>
  <c r="N105" i="5"/>
  <c r="O107" i="5"/>
  <c r="O129" i="5"/>
  <c r="N32" i="5"/>
  <c r="Q32" i="5" s="1"/>
  <c r="N34" i="5"/>
  <c r="P110" i="5"/>
  <c r="P39" i="5"/>
  <c r="O113" i="5"/>
  <c r="P125" i="5"/>
  <c r="N15" i="5"/>
  <c r="N93" i="5"/>
  <c r="Q93" i="5" s="1"/>
  <c r="P103" i="5"/>
  <c r="N103" i="5"/>
  <c r="Q103" i="5" s="1"/>
  <c r="P6" i="5"/>
  <c r="N24" i="5"/>
  <c r="Q24" i="5" s="1"/>
  <c r="N53" i="5"/>
  <c r="Q53" i="5" s="1"/>
  <c r="O91" i="5"/>
  <c r="O93" i="5"/>
  <c r="P3" i="5"/>
  <c r="N3" i="5"/>
  <c r="O3" i="5"/>
  <c r="N102" i="5"/>
  <c r="Q102" i="5" s="1"/>
  <c r="O102" i="5"/>
  <c r="N104" i="5"/>
  <c r="Q104" i="5" s="1"/>
  <c r="O50" i="5"/>
  <c r="O104" i="5"/>
  <c r="N106" i="5"/>
  <c r="Q106" i="5" s="1"/>
  <c r="P50" i="5"/>
  <c r="Q50" i="5" s="1"/>
  <c r="P78" i="5"/>
  <c r="O106" i="5"/>
  <c r="N16" i="5"/>
  <c r="Q16" i="5" s="1"/>
  <c r="N41" i="5"/>
  <c r="Q41" i="5" s="1"/>
  <c r="N71" i="5"/>
  <c r="Q71" i="5" s="1"/>
  <c r="N29" i="5"/>
  <c r="Q29" i="5" s="1"/>
  <c r="O71" i="5"/>
  <c r="O29" i="5"/>
  <c r="N100" i="5"/>
  <c r="Q100" i="5" s="1"/>
  <c r="O100" i="5"/>
  <c r="N65" i="5"/>
  <c r="Q65" i="5" s="1"/>
  <c r="O65" i="5"/>
  <c r="P67" i="5"/>
  <c r="O67" i="5"/>
  <c r="N67" i="5"/>
  <c r="O88" i="5"/>
  <c r="P88" i="5"/>
  <c r="N88" i="5"/>
  <c r="N121" i="5"/>
  <c r="Q121" i="5" s="1"/>
  <c r="N119" i="5"/>
  <c r="O121" i="5"/>
  <c r="P5" i="5"/>
  <c r="O5" i="5"/>
  <c r="N5" i="5"/>
  <c r="Q5" i="5" s="1"/>
  <c r="O13" i="5"/>
  <c r="P114" i="5"/>
  <c r="O114" i="5"/>
  <c r="N124" i="5"/>
  <c r="Q124" i="5" s="1"/>
  <c r="O2" i="5"/>
  <c r="P13" i="5"/>
  <c r="Q13" i="5" s="1"/>
  <c r="N23" i="5"/>
  <c r="Q23" i="5" s="1"/>
  <c r="P83" i="5"/>
  <c r="O83" i="5"/>
  <c r="N86" i="5"/>
  <c r="Q86" i="5" s="1"/>
  <c r="N114" i="5"/>
  <c r="P119" i="5"/>
  <c r="O124" i="5"/>
  <c r="P2" i="5"/>
  <c r="Q2" i="5" s="1"/>
  <c r="O23" i="5"/>
  <c r="N62" i="5"/>
  <c r="Q62" i="5" s="1"/>
  <c r="O75" i="5"/>
  <c r="P75" i="5"/>
  <c r="N75" i="5"/>
  <c r="N83" i="5"/>
  <c r="O86" i="5"/>
  <c r="N133" i="5"/>
  <c r="Q133" i="5" s="1"/>
  <c r="O62" i="5"/>
  <c r="N91" i="5"/>
  <c r="Q91" i="5" s="1"/>
  <c r="O133" i="5"/>
  <c r="O43" i="5"/>
  <c r="O41" i="5"/>
  <c r="N78" i="5"/>
  <c r="P61" i="5"/>
  <c r="O61" i="5"/>
  <c r="N80" i="5"/>
  <c r="Q80" i="5" s="1"/>
  <c r="O80" i="5"/>
  <c r="P26" i="5"/>
  <c r="O26" i="5"/>
  <c r="O47" i="5"/>
  <c r="N47" i="5"/>
  <c r="P47" i="5"/>
  <c r="P58" i="5"/>
  <c r="O58" i="5"/>
  <c r="N58" i="5"/>
  <c r="Q58" i="5" s="1"/>
  <c r="N26" i="5"/>
  <c r="O56" i="5"/>
  <c r="P95" i="5"/>
  <c r="Q95" i="5" s="1"/>
  <c r="O95" i="5"/>
  <c r="N43" i="5"/>
  <c r="Q43" i="5" s="1"/>
  <c r="O73" i="5"/>
  <c r="P73" i="5"/>
  <c r="N73" i="5"/>
  <c r="Q73" i="5" s="1"/>
  <c r="O16" i="5"/>
  <c r="N61" i="5"/>
  <c r="Q61" i="5" s="1"/>
  <c r="P10" i="5"/>
  <c r="O10" i="5"/>
  <c r="P38" i="5"/>
  <c r="O38" i="5"/>
  <c r="N135" i="5"/>
  <c r="Q135" i="5" s="1"/>
  <c r="N33" i="5"/>
  <c r="N38" i="5"/>
  <c r="N64" i="5"/>
  <c r="Q64" i="5" s="1"/>
  <c r="N77" i="5"/>
  <c r="N97" i="5"/>
  <c r="Q97" i="5" s="1"/>
  <c r="N116" i="5"/>
  <c r="Q116" i="5" s="1"/>
  <c r="O135" i="5"/>
  <c r="O49" i="5"/>
  <c r="O64" i="5"/>
  <c r="O84" i="5"/>
  <c r="O90" i="5"/>
  <c r="O97" i="5"/>
  <c r="O116" i="5"/>
  <c r="N118" i="5"/>
  <c r="Q118" i="5" s="1"/>
  <c r="N120" i="5"/>
  <c r="Q120" i="5" s="1"/>
  <c r="N126" i="5"/>
  <c r="Q126" i="5" s="1"/>
  <c r="P22" i="5"/>
  <c r="O22" i="5"/>
  <c r="P30" i="5"/>
  <c r="P33" i="5"/>
  <c r="N42" i="5"/>
  <c r="Q42" i="5" s="1"/>
  <c r="P49" i="5"/>
  <c r="Q49" i="5" s="1"/>
  <c r="P77" i="5"/>
  <c r="N82" i="5"/>
  <c r="Q82" i="5" s="1"/>
  <c r="P84" i="5"/>
  <c r="Q84" i="5" s="1"/>
  <c r="P90" i="5"/>
  <c r="Q90" i="5" s="1"/>
  <c r="O118" i="5"/>
  <c r="O120" i="5"/>
  <c r="O126" i="5"/>
  <c r="N7" i="5"/>
  <c r="Q7" i="5" s="1"/>
  <c r="N17" i="5"/>
  <c r="Q17" i="5" s="1"/>
  <c r="N22" i="5"/>
  <c r="O42" i="5"/>
  <c r="N55" i="5"/>
  <c r="Q55" i="5" s="1"/>
  <c r="N68" i="5"/>
  <c r="Q68" i="5" s="1"/>
  <c r="O82" i="5"/>
  <c r="O7" i="5"/>
  <c r="O17" i="5"/>
  <c r="N44" i="5"/>
  <c r="O55" i="5"/>
  <c r="O68" i="5"/>
  <c r="N109" i="5"/>
  <c r="N111" i="5"/>
  <c r="Q111" i="5" s="1"/>
  <c r="N14" i="5"/>
  <c r="Q14" i="5" s="1"/>
  <c r="N35" i="5"/>
  <c r="Q35" i="5" s="1"/>
  <c r="N57" i="5"/>
  <c r="Q57" i="5" s="1"/>
  <c r="N66" i="5"/>
  <c r="Q66" i="5" s="1"/>
  <c r="N113" i="5"/>
  <c r="Q113" i="5" s="1"/>
  <c r="N30" i="5"/>
  <c r="N10" i="5"/>
  <c r="N11" i="5"/>
  <c r="N19" i="5"/>
  <c r="Q19" i="5" s="1"/>
  <c r="N39" i="5"/>
  <c r="O46" i="5"/>
  <c r="P46" i="5"/>
  <c r="Q46" i="5" s="1"/>
  <c r="N60" i="5"/>
  <c r="Q60" i="5" s="1"/>
  <c r="P99" i="5"/>
  <c r="Q99" i="5" s="1"/>
  <c r="O99" i="5"/>
  <c r="N125" i="5"/>
  <c r="N128" i="5"/>
  <c r="O19" i="5"/>
  <c r="O60" i="5"/>
  <c r="N85" i="5"/>
  <c r="Q85" i="5" s="1"/>
  <c r="N101" i="5"/>
  <c r="Q101" i="5" s="1"/>
  <c r="N4" i="5"/>
  <c r="Q4" i="5" s="1"/>
  <c r="N72" i="5"/>
  <c r="Q72" i="5" s="1"/>
  <c r="O85" i="5"/>
  <c r="O101" i="5"/>
  <c r="N108" i="5"/>
  <c r="Q108" i="5" s="1"/>
  <c r="O4" i="5"/>
  <c r="O72" i="5"/>
  <c r="O108" i="5"/>
  <c r="N6" i="5"/>
  <c r="N18" i="5"/>
  <c r="O31" i="5"/>
  <c r="O51" i="5"/>
  <c r="O59" i="5"/>
  <c r="O63" i="5"/>
  <c r="N74" i="5"/>
  <c r="N98" i="5"/>
  <c r="N110" i="5"/>
  <c r="N134" i="5"/>
  <c r="Q38" i="5" l="1"/>
  <c r="Q33" i="5"/>
  <c r="Q3" i="5"/>
  <c r="Q67" i="5"/>
  <c r="Q119" i="5"/>
  <c r="Q77" i="5"/>
  <c r="Q75" i="5"/>
  <c r="Q88" i="5"/>
  <c r="Q122" i="5"/>
  <c r="Q34" i="5"/>
  <c r="Q127" i="5"/>
  <c r="Q114" i="5"/>
  <c r="Q134" i="5"/>
  <c r="Q74" i="5"/>
  <c r="Q54" i="5"/>
  <c r="Q39" i="5"/>
  <c r="Q105" i="5"/>
  <c r="Q15" i="5"/>
  <c r="Q87" i="5"/>
  <c r="Q123" i="5"/>
  <c r="Q11" i="5"/>
  <c r="Q109" i="5"/>
  <c r="Q36" i="5"/>
  <c r="Q83" i="5"/>
  <c r="Q110" i="5"/>
  <c r="Q98" i="5"/>
  <c r="Q44" i="5"/>
  <c r="Q128" i="5"/>
  <c r="Q125" i="5"/>
  <c r="Q18" i="5"/>
  <c r="Q6" i="5"/>
  <c r="Q47" i="5"/>
  <c r="Q22" i="5"/>
  <c r="Q30" i="5"/>
  <c r="Q78" i="5"/>
  <c r="Q10" i="5"/>
  <c r="Q26" i="5"/>
</calcChain>
</file>

<file path=xl/sharedStrings.xml><?xml version="1.0" encoding="utf-8"?>
<sst xmlns="http://schemas.openxmlformats.org/spreadsheetml/2006/main" count="8386" uniqueCount="660">
  <si>
    <t xml:space="preserve">ID </t>
  </si>
  <si>
    <t xml:space="preserve">ID IVI </t>
  </si>
  <si>
    <t>Manual Score (0 to 4)</t>
  </si>
  <si>
    <t>Area SARS CoV2 Positive (um2) (in ROI002)</t>
  </si>
  <si>
    <t>Total Area Lung (ROI002) (um2)</t>
  </si>
  <si>
    <t>Area Negative Lung Parenchyma</t>
  </si>
  <si>
    <t>Area Lung Parenchyma (area SARS positive+ area negative lung)</t>
  </si>
  <si>
    <t>Positivity in ROI002</t>
  </si>
  <si>
    <t>% Positiveity in ROI002</t>
  </si>
  <si>
    <t>Positivity in total parenchyma</t>
  </si>
  <si>
    <t>% Positivity in total parenchyma</t>
  </si>
  <si>
    <t>SARS-CoV-2 variant</t>
  </si>
  <si>
    <t>Dose (PFU/mouse)</t>
  </si>
  <si>
    <t>Histopathological score</t>
  </si>
  <si>
    <t>qPCR swabs (RNA/ml)</t>
  </si>
  <si>
    <t>qPCR Lung (RNA/ml)</t>
  </si>
  <si>
    <t>Live virus (PFU/ml)</t>
  </si>
  <si>
    <t>Vaccinated (v), none (n)</t>
  </si>
  <si>
    <t>Euthanasia day (dpi)</t>
  </si>
  <si>
    <t>Mouse Strain</t>
  </si>
  <si>
    <t>IHC antibodies</t>
  </si>
  <si>
    <t xml:space="preserve">Tissue </t>
  </si>
  <si>
    <t xml:space="preserve">Pos/Neg </t>
  </si>
  <si>
    <t>ID_945b_1-4</t>
  </si>
  <si>
    <t xml:space="preserve">Mock </t>
  </si>
  <si>
    <t>L</t>
  </si>
  <si>
    <t>Neg</t>
  </si>
  <si>
    <t>ID_945b_15-20</t>
  </si>
  <si>
    <t>Wild-type</t>
  </si>
  <si>
    <t>n</t>
  </si>
  <si>
    <t>R</t>
  </si>
  <si>
    <t>Pos</t>
  </si>
  <si>
    <t>ID_945b_23-27</t>
  </si>
  <si>
    <t>ID_945b_7-11</t>
  </si>
  <si>
    <t>ID_945c_11-13</t>
  </si>
  <si>
    <t>SENTINEL</t>
  </si>
  <si>
    <t>ID_945c_1-5</t>
  </si>
  <si>
    <t>B117 + WT</t>
  </si>
  <si>
    <t>L20_68_15_1</t>
  </si>
  <si>
    <t>ID931</t>
  </si>
  <si>
    <t>Mouse-adapted</t>
  </si>
  <si>
    <t>L22_05_7_1</t>
  </si>
  <si>
    <t>ID939g</t>
  </si>
  <si>
    <t>K18:Casp1/11</t>
  </si>
  <si>
    <t>L22_05_8_1</t>
  </si>
  <si>
    <t>L21_19_05-8</t>
  </si>
  <si>
    <t>ID944b</t>
  </si>
  <si>
    <t>L21_19_14</t>
  </si>
  <si>
    <t>L21_18_10-14</t>
  </si>
  <si>
    <t>ID944c</t>
  </si>
  <si>
    <t>L21_18_20-24</t>
  </si>
  <si>
    <t>L21_60_13</t>
  </si>
  <si>
    <t>ID944h</t>
  </si>
  <si>
    <t>Mouse-adapted 10</t>
  </si>
  <si>
    <t>L22_07_14_1 7_21_1</t>
  </si>
  <si>
    <t>ID944p</t>
  </si>
  <si>
    <t>L22_07_3_1 7_7_1</t>
  </si>
  <si>
    <t>L21_17_01</t>
  </si>
  <si>
    <t>ID946a</t>
  </si>
  <si>
    <t>n/a</t>
  </si>
  <si>
    <t>v</t>
  </si>
  <si>
    <t>L + B</t>
  </si>
  <si>
    <t>L21_17_09</t>
  </si>
  <si>
    <t>L21_17_12</t>
  </si>
  <si>
    <t>L21_17_18</t>
  </si>
  <si>
    <t>L21_17_2</t>
  </si>
  <si>
    <t>K18</t>
  </si>
  <si>
    <t>L21_17_5</t>
  </si>
  <si>
    <t>L21_68_13</t>
  </si>
  <si>
    <t>ID946b</t>
  </si>
  <si>
    <t>L21_68_20</t>
  </si>
  <si>
    <t>L21_69_02</t>
  </si>
  <si>
    <t>ID946c1</t>
  </si>
  <si>
    <t>v (Sdelta)</t>
  </si>
  <si>
    <t>L21_69_06</t>
  </si>
  <si>
    <t>v (Mq-Sdelta)</t>
  </si>
  <si>
    <t>L22_17_03</t>
  </si>
  <si>
    <t>ID946c2</t>
  </si>
  <si>
    <t>v (RBD)</t>
  </si>
  <si>
    <t>L22_18_09</t>
  </si>
  <si>
    <t>ID946d</t>
  </si>
  <si>
    <t>Delta</t>
  </si>
  <si>
    <t>v (Sd21)</t>
  </si>
  <si>
    <t>L22_18_10</t>
  </si>
  <si>
    <t>L22_18_11</t>
  </si>
  <si>
    <t>L22_18_12</t>
  </si>
  <si>
    <t>L22_18_13</t>
  </si>
  <si>
    <t>L22_18_15</t>
  </si>
  <si>
    <t>L22_35_04</t>
  </si>
  <si>
    <t>ID946f</t>
  </si>
  <si>
    <t>L21_47_01</t>
  </si>
  <si>
    <t>ID957a</t>
  </si>
  <si>
    <t>L21_47_02</t>
  </si>
  <si>
    <t>L21_47_03</t>
  </si>
  <si>
    <t>L21_47_04</t>
  </si>
  <si>
    <t>L21_47_06</t>
  </si>
  <si>
    <t>nsp1 mutant</t>
  </si>
  <si>
    <t>L21_47_11</t>
  </si>
  <si>
    <t>nsp16 mutant</t>
  </si>
  <si>
    <t>L21_47_13</t>
  </si>
  <si>
    <t>OTS8</t>
  </si>
  <si>
    <t>L21_47_14</t>
  </si>
  <si>
    <t>L21_47_15</t>
  </si>
  <si>
    <t>L21_47_16</t>
  </si>
  <si>
    <t>L21_47_17</t>
  </si>
  <si>
    <t>OTS4-5</t>
  </si>
  <si>
    <t>L21_47_18</t>
  </si>
  <si>
    <t>L21_47_19</t>
  </si>
  <si>
    <t>L21_47_20</t>
  </si>
  <si>
    <t>L21_47_21</t>
  </si>
  <si>
    <t>Mock</t>
  </si>
  <si>
    <t>L21_70_01</t>
  </si>
  <si>
    <t>ID957b</t>
  </si>
  <si>
    <t>L21_70_02</t>
  </si>
  <si>
    <t>L21_70_03</t>
  </si>
  <si>
    <t>L21_70_04</t>
  </si>
  <si>
    <t>L21_70_05</t>
  </si>
  <si>
    <t>L21_70_06</t>
  </si>
  <si>
    <t>L21_70_07</t>
  </si>
  <si>
    <t>L21_70_08</t>
  </si>
  <si>
    <t>L21_70_09</t>
  </si>
  <si>
    <t>L21_70_10</t>
  </si>
  <si>
    <t>L21_70_11</t>
  </si>
  <si>
    <t>L21_70_12</t>
  </si>
  <si>
    <t>L21_70_13</t>
  </si>
  <si>
    <t>L21_70_14</t>
  </si>
  <si>
    <t>L21_70_15</t>
  </si>
  <si>
    <t>L21_70_16</t>
  </si>
  <si>
    <t>L21_70_17</t>
  </si>
  <si>
    <t>L21_70_18</t>
  </si>
  <si>
    <t>L21_70_23</t>
  </si>
  <si>
    <t>?</t>
  </si>
  <si>
    <t>L21_107_01_1</t>
  </si>
  <si>
    <t>ID965a</t>
  </si>
  <si>
    <t>L21_107_04_1</t>
  </si>
  <si>
    <t>L21_107_05_1</t>
  </si>
  <si>
    <t>dORF6 #13</t>
  </si>
  <si>
    <t>L21_107_06_1</t>
  </si>
  <si>
    <t>L21_107_12_1</t>
  </si>
  <si>
    <t>dORF6-8</t>
  </si>
  <si>
    <t>L21_107_13_1</t>
  </si>
  <si>
    <t>m6a #182</t>
  </si>
  <si>
    <t>L21_107_14_1</t>
  </si>
  <si>
    <t>L21_107_17_1</t>
  </si>
  <si>
    <t>m6a + 3UTR #181</t>
  </si>
  <si>
    <t>L21_107_18_1</t>
  </si>
  <si>
    <t>L21_112_01</t>
  </si>
  <si>
    <t>ID965b</t>
  </si>
  <si>
    <t>L21_112_02</t>
  </si>
  <si>
    <t>L21_112_03</t>
  </si>
  <si>
    <t>L21_112_04</t>
  </si>
  <si>
    <t>L21_112_05</t>
  </si>
  <si>
    <t>L21_112_06</t>
  </si>
  <si>
    <t>L21_112_07</t>
  </si>
  <si>
    <t>L21_112_08</t>
  </si>
  <si>
    <t>L21_112_09</t>
  </si>
  <si>
    <t>L21_112_10</t>
  </si>
  <si>
    <t>L21_112_11</t>
  </si>
  <si>
    <t>L21_112_12</t>
  </si>
  <si>
    <t>L21_112_13</t>
  </si>
  <si>
    <t>L21_112_14</t>
  </si>
  <si>
    <t>L21_112_15</t>
  </si>
  <si>
    <t>L21_112_17</t>
  </si>
  <si>
    <t>L21_112_18</t>
  </si>
  <si>
    <t>L21_112_19</t>
  </si>
  <si>
    <t>L21_112_20</t>
  </si>
  <si>
    <t>L21_112_21</t>
  </si>
  <si>
    <t>L21_112_22</t>
  </si>
  <si>
    <t>L21_112_23</t>
  </si>
  <si>
    <t>L21_112_25</t>
  </si>
  <si>
    <t>L21_112_29</t>
  </si>
  <si>
    <t>L21_112_30</t>
  </si>
  <si>
    <t>L21_112_31</t>
  </si>
  <si>
    <t>L21_112_32</t>
  </si>
  <si>
    <t>L21_112_36</t>
  </si>
  <si>
    <t>L22_09_07</t>
  </si>
  <si>
    <t>ID965c</t>
  </si>
  <si>
    <t>L22_09_08</t>
  </si>
  <si>
    <t>L22_09_13</t>
  </si>
  <si>
    <t>L22_09_17</t>
  </si>
  <si>
    <t>L22_09_22</t>
  </si>
  <si>
    <t>L22_09_26</t>
  </si>
  <si>
    <t>L22_09_30</t>
  </si>
  <si>
    <t>L22_9_19_1</t>
  </si>
  <si>
    <t>L22_45_01</t>
  </si>
  <si>
    <t>ID974a</t>
  </si>
  <si>
    <t>L22_45_02</t>
  </si>
  <si>
    <t>L22_45_03</t>
  </si>
  <si>
    <t>L22_45_04</t>
  </si>
  <si>
    <t>L22_45_05</t>
  </si>
  <si>
    <t>L22_45_06</t>
  </si>
  <si>
    <t>L22_45_07</t>
  </si>
  <si>
    <t>L22_45_25</t>
  </si>
  <si>
    <t>L22_45_26</t>
  </si>
  <si>
    <t>L22_45_27</t>
  </si>
  <si>
    <t>L22_45_28</t>
  </si>
  <si>
    <t>L22_45_31</t>
  </si>
  <si>
    <t>L22_45_32</t>
  </si>
  <si>
    <t>L22_45_36</t>
  </si>
  <si>
    <t>L22_45_38</t>
  </si>
  <si>
    <t>L22_45_40</t>
  </si>
  <si>
    <t>L22_45_41</t>
  </si>
  <si>
    <t>L22_45_42</t>
  </si>
  <si>
    <t>L22_45_43</t>
  </si>
  <si>
    <t>L22_70_01</t>
  </si>
  <si>
    <t>ID974b</t>
  </si>
  <si>
    <t>L22_70_02</t>
  </si>
  <si>
    <t>L22_70_03</t>
  </si>
  <si>
    <t>L22_70_04</t>
  </si>
  <si>
    <t>L22_70_05</t>
  </si>
  <si>
    <t>L22_70_07</t>
  </si>
  <si>
    <t>L22_70_08</t>
  </si>
  <si>
    <t>L22_70_09</t>
  </si>
  <si>
    <t>L22_70_10</t>
  </si>
  <si>
    <t>L22_70_17</t>
  </si>
  <si>
    <t>L22_70_18</t>
  </si>
  <si>
    <t>L22_70_19</t>
  </si>
  <si>
    <t>L22_70_20</t>
  </si>
  <si>
    <t>L22_70_21</t>
  </si>
  <si>
    <t>L22_70_22</t>
  </si>
  <si>
    <t>L22_70_23_1</t>
  </si>
  <si>
    <t>L22_70_26</t>
  </si>
  <si>
    <t>L22_70_27</t>
  </si>
  <si>
    <t>L22_70_28</t>
  </si>
  <si>
    <t>L22_70_34</t>
  </si>
  <si>
    <t>L22_70_35</t>
  </si>
  <si>
    <t>L22_70_36</t>
  </si>
  <si>
    <t>L22_70_39</t>
  </si>
  <si>
    <t>L22_70_40</t>
  </si>
  <si>
    <t>L22_70_43</t>
  </si>
  <si>
    <t>L22_70_45</t>
  </si>
  <si>
    <t>L22_70_47</t>
  </si>
  <si>
    <t>L22_70_50</t>
  </si>
  <si>
    <t>L22_70_53</t>
  </si>
  <si>
    <t>L22_70_54</t>
  </si>
  <si>
    <t>L22_70_56</t>
  </si>
  <si>
    <t>L22_70_57</t>
  </si>
  <si>
    <t>L22_70_60</t>
  </si>
  <si>
    <t>L22_70_62</t>
  </si>
  <si>
    <t>L22_70_63</t>
  </si>
  <si>
    <t>L22_70_64</t>
  </si>
  <si>
    <t>L22_70_66</t>
  </si>
  <si>
    <t>L22_111_01</t>
  </si>
  <si>
    <t>ID974b.2</t>
  </si>
  <si>
    <t>L22_111_02</t>
  </si>
  <si>
    <t>L22_111_03</t>
  </si>
  <si>
    <t>L22_111_04</t>
  </si>
  <si>
    <t>L22_111_05</t>
  </si>
  <si>
    <t>L22_111_06</t>
  </si>
  <si>
    <t>L22_111_07</t>
  </si>
  <si>
    <t>L22_111_08</t>
  </si>
  <si>
    <t>L22_111_09</t>
  </si>
  <si>
    <t>L22_111_10</t>
  </si>
  <si>
    <t>L22_111_11</t>
  </si>
  <si>
    <t>L22_111_13</t>
  </si>
  <si>
    <t>L22_111_14</t>
  </si>
  <si>
    <t>L22_111_15</t>
  </si>
  <si>
    <t>L22_111_16</t>
  </si>
  <si>
    <t>L22_111_17</t>
  </si>
  <si>
    <t>L22_20_02</t>
  </si>
  <si>
    <t>ID975a</t>
  </si>
  <si>
    <t>L22_20_06</t>
  </si>
  <si>
    <t>L22_20_09</t>
  </si>
  <si>
    <t>L22_20_14</t>
  </si>
  <si>
    <t>L22_20_19</t>
  </si>
  <si>
    <t>L22_20_23</t>
  </si>
  <si>
    <t>L22_20_26</t>
  </si>
  <si>
    <t>L22_20_30</t>
  </si>
  <si>
    <t>L22_20_34</t>
  </si>
  <si>
    <t>Omicron</t>
  </si>
  <si>
    <t>L22_20_38</t>
  </si>
  <si>
    <t>L22_20_41</t>
  </si>
  <si>
    <t>L22_20_48</t>
  </si>
  <si>
    <t>L22_21_03</t>
  </si>
  <si>
    <t>ID975b</t>
  </si>
  <si>
    <t>Mix Delta/Omicron</t>
  </si>
  <si>
    <t>L22_21_10</t>
  </si>
  <si>
    <t>L22_21_6</t>
  </si>
  <si>
    <t>L24_80_01</t>
  </si>
  <si>
    <t>ID979i</t>
  </si>
  <si>
    <t>L24_80_02</t>
  </si>
  <si>
    <t>L24_80_03</t>
  </si>
  <si>
    <t>L24_80_04</t>
  </si>
  <si>
    <t>L24_80_05</t>
  </si>
  <si>
    <t>L24_80_06</t>
  </si>
  <si>
    <t>CS</t>
  </si>
  <si>
    <t>L24_80_07</t>
  </si>
  <si>
    <t>L24_80_08</t>
  </si>
  <si>
    <t>L24_80_09</t>
  </si>
  <si>
    <t>L24_80_10</t>
  </si>
  <si>
    <t>L24_80_11</t>
  </si>
  <si>
    <t>L24_80_12</t>
  </si>
  <si>
    <t>L24_80_13</t>
  </si>
  <si>
    <t>L24_80_14</t>
  </si>
  <si>
    <t>L24_80_15</t>
  </si>
  <si>
    <t>L24_80_16</t>
  </si>
  <si>
    <t>L24_80_17</t>
  </si>
  <si>
    <t>L24_80_18</t>
  </si>
  <si>
    <t>L24_80_19</t>
  </si>
  <si>
    <t>L24_80_20</t>
  </si>
  <si>
    <t>L24_80_21</t>
  </si>
  <si>
    <t>L24_80_22</t>
  </si>
  <si>
    <t>L24_80_23</t>
  </si>
  <si>
    <t>L24_80_24</t>
  </si>
  <si>
    <t>L24_80_25</t>
  </si>
  <si>
    <t>L22_29_3_1</t>
  </si>
  <si>
    <t>ID981a</t>
  </si>
  <si>
    <t>NEBULIZED</t>
  </si>
  <si>
    <t>L22_29_6_1</t>
  </si>
  <si>
    <t>L22_29_9_1</t>
  </si>
  <si>
    <t>L22_126_11</t>
  </si>
  <si>
    <t>ID981b</t>
  </si>
  <si>
    <t>C-K18</t>
  </si>
  <si>
    <t>L22_126_12</t>
  </si>
  <si>
    <t>L22_126_13</t>
  </si>
  <si>
    <t>L22_126_14</t>
  </si>
  <si>
    <t>L22_126_15</t>
  </si>
  <si>
    <t>L22_126_16</t>
  </si>
  <si>
    <t>L22_126_20</t>
  </si>
  <si>
    <t>L22_129_13</t>
  </si>
  <si>
    <t>ID981d</t>
  </si>
  <si>
    <t>L22_129_35</t>
  </si>
  <si>
    <t>L22_129_9</t>
  </si>
  <si>
    <t>L22_131_18_1</t>
  </si>
  <si>
    <t>Unknown</t>
  </si>
  <si>
    <t>L22_131_19_1</t>
  </si>
  <si>
    <t>L22_131_20_1</t>
  </si>
  <si>
    <t>L22_131_21_1</t>
  </si>
  <si>
    <t>L22_131_22_1</t>
  </si>
  <si>
    <t>L22_131_23_1</t>
  </si>
  <si>
    <t>L22_131_24_1</t>
  </si>
  <si>
    <t>L22_131_25_1</t>
  </si>
  <si>
    <t>L22_131_26_1</t>
  </si>
  <si>
    <t>L22_131_27_1</t>
  </si>
  <si>
    <t>L22_131_31_1</t>
  </si>
  <si>
    <t>L22_131_37_1</t>
  </si>
  <si>
    <t>L22_75_02</t>
  </si>
  <si>
    <t>ID992a</t>
  </si>
  <si>
    <t>x</t>
  </si>
  <si>
    <t>L22_75_04</t>
  </si>
  <si>
    <t>L22_75_05</t>
  </si>
  <si>
    <t>L22_75_06</t>
  </si>
  <si>
    <t>L22_75_07</t>
  </si>
  <si>
    <t>L22_75_08</t>
  </si>
  <si>
    <t>L22_75_09</t>
  </si>
  <si>
    <t>L22_75_10</t>
  </si>
  <si>
    <t>L22_75_11</t>
  </si>
  <si>
    <t>L22_75_12</t>
  </si>
  <si>
    <t>L22_75_13</t>
  </si>
  <si>
    <t>OTS 206</t>
  </si>
  <si>
    <t>L22_75_14</t>
  </si>
  <si>
    <t>L22_75_15</t>
  </si>
  <si>
    <t>L22_75_16</t>
  </si>
  <si>
    <t>L22_75_17</t>
  </si>
  <si>
    <t>L22_75_18</t>
  </si>
  <si>
    <t>L22_75_19</t>
  </si>
  <si>
    <t>L22_75_20</t>
  </si>
  <si>
    <t>L22_109_01</t>
  </si>
  <si>
    <t>ID992b</t>
  </si>
  <si>
    <t>L22_109_04</t>
  </si>
  <si>
    <t>L22_109_05</t>
  </si>
  <si>
    <t>L22_109_08</t>
  </si>
  <si>
    <t>L22_109_12</t>
  </si>
  <si>
    <t>L22_109_16</t>
  </si>
  <si>
    <t>L22_109_18</t>
  </si>
  <si>
    <t>L22_109_24</t>
  </si>
  <si>
    <t>L22_109_28</t>
  </si>
  <si>
    <t>L22_109_29</t>
  </si>
  <si>
    <t>L22_131_01</t>
  </si>
  <si>
    <t>ID992c</t>
  </si>
  <si>
    <t>L + H</t>
  </si>
  <si>
    <t>L22_131_02</t>
  </si>
  <si>
    <t>L22_131_03</t>
  </si>
  <si>
    <t>L22_131_04</t>
  </si>
  <si>
    <t>L22_131_05</t>
  </si>
  <si>
    <t>L22_131_06</t>
  </si>
  <si>
    <t>L22_131_08</t>
  </si>
  <si>
    <t>L22_131_09</t>
  </si>
  <si>
    <t>L22_131_10</t>
  </si>
  <si>
    <t>L22_131_7_1</t>
  </si>
  <si>
    <t>L + Heart</t>
  </si>
  <si>
    <t>L22_131_9_1</t>
  </si>
  <si>
    <t>B6J</t>
  </si>
  <si>
    <t>129/Sv</t>
  </si>
  <si>
    <t>Swiss</t>
  </si>
  <si>
    <t>Balb/c</t>
  </si>
  <si>
    <t>hACE2-KI</t>
  </si>
  <si>
    <t>L22_131_8_1</t>
  </si>
  <si>
    <t>First lung (on the left)</t>
  </si>
  <si>
    <t>Second lung (on the right)</t>
  </si>
  <si>
    <t>Third lung (in the middle)</t>
  </si>
  <si>
    <t xml:space="preserve">Manual Score </t>
  </si>
  <si>
    <t>Area SARS CoV2 Positive (um2)</t>
  </si>
  <si>
    <t>Area Lung Parenchyma (positive+negative)</t>
  </si>
  <si>
    <t>Manual Score</t>
  </si>
  <si>
    <t>L21_19_5-8</t>
  </si>
  <si>
    <t>L22_7_3_1 7_7_1</t>
  </si>
  <si>
    <t>L22_7_14_1 7_21_1</t>
  </si>
  <si>
    <t>ID</t>
  </si>
  <si>
    <t>Manual Score brain</t>
  </si>
  <si>
    <t>Brain: Area cell positive (mm2)</t>
  </si>
  <si>
    <t>Brain: Area cell positive (um2)</t>
  </si>
  <si>
    <t>Brain: Area extracellular negative (mm2)</t>
  </si>
  <si>
    <t>Brain: Area extracellular negative (um2)</t>
  </si>
  <si>
    <t>Brain: Area extracellular positive (mm2)</t>
  </si>
  <si>
    <t>Brain: Area extracellular positive (um2)</t>
  </si>
  <si>
    <t>Brain: Area positive (mm2)</t>
  </si>
  <si>
    <t>Brain: Area positive (um2)</t>
  </si>
  <si>
    <t>Brain: Total area (mm2)</t>
  </si>
  <si>
    <t>Brain: Total area (um2)</t>
  </si>
  <si>
    <t>% Cell positive</t>
  </si>
  <si>
    <t>% Extracellular negative</t>
  </si>
  <si>
    <t>% Extracellular positive</t>
  </si>
  <si>
    <t>% Positive area</t>
  </si>
  <si>
    <t># Positive cells</t>
  </si>
  <si>
    <t># Positive cells / Total area brain (mm2)</t>
  </si>
  <si>
    <t>Minimum intensity: cell positive</t>
  </si>
  <si>
    <t>Mean intensity: extracellular positive %</t>
  </si>
  <si>
    <t>Mean intensity: extrac. pos scale corrected (%)</t>
  </si>
  <si>
    <t>Mean intensity: extracellular positive</t>
  </si>
  <si>
    <t>Mean intensity: cell positive %</t>
  </si>
  <si>
    <t>Mean intensity: cell pos scale corrected (%)</t>
  </si>
  <si>
    <t>Mean intensity: cell positive</t>
  </si>
  <si>
    <t>Mean intensity: extracellular negative %</t>
  </si>
  <si>
    <t>Mean intensity: extrac. neg scale corrected (%)</t>
  </si>
  <si>
    <t>Mean  intensity: extracellular negative</t>
  </si>
  <si>
    <t>Mean intensity: ROI 002 total</t>
  </si>
  <si>
    <t>Brain: comment</t>
  </si>
  <si>
    <t>Pos / Neg (Brain)</t>
  </si>
  <si>
    <t>Pos / Neg (Lung)</t>
  </si>
  <si>
    <t>brown</t>
  </si>
  <si>
    <t>brown (okay)</t>
  </si>
  <si>
    <t>brown (bad)</t>
  </si>
  <si>
    <t>L21_112_01_2</t>
  </si>
  <si>
    <t>L21_112_07_1-7_2</t>
  </si>
  <si>
    <t>L21_112_08_2</t>
  </si>
  <si>
    <t>L21_112_09_1-9_2</t>
  </si>
  <si>
    <t>L21_112_10_2</t>
  </si>
  <si>
    <t>L21_112_12_2</t>
  </si>
  <si>
    <t>L21_112_13_1-13_2</t>
  </si>
  <si>
    <t>L21_112_15_2</t>
  </si>
  <si>
    <t>L21_112_18_1-18_2</t>
  </si>
  <si>
    <t>L21_112_20_2</t>
  </si>
  <si>
    <t>melanin</t>
  </si>
  <si>
    <t>L21_112_21_1-21_2</t>
  </si>
  <si>
    <t>L21_112_29_1-29_2</t>
  </si>
  <si>
    <t>L21_112_31_1-31_2</t>
  </si>
  <si>
    <t>L21_17_02</t>
  </si>
  <si>
    <t>artifact</t>
  </si>
  <si>
    <t>L21_17_05</t>
  </si>
  <si>
    <t>cracks, not usable</t>
  </si>
  <si>
    <t>L21_47_01_1-2</t>
  </si>
  <si>
    <t>L21_47_06_1-2</t>
  </si>
  <si>
    <t>L21_47_11_2</t>
  </si>
  <si>
    <t>L21_47_17_2</t>
  </si>
  <si>
    <t>L21_47_21_1-2</t>
  </si>
  <si>
    <t>L21_68_13_2</t>
  </si>
  <si>
    <t>L21_68_20_2</t>
  </si>
  <si>
    <t>L21_69_02_1-2</t>
  </si>
  <si>
    <t>unsure of pos</t>
  </si>
  <si>
    <t>L21_69_06_1-2</t>
  </si>
  <si>
    <t>L21_70_07_2</t>
  </si>
  <si>
    <t>L21_70_12_1-2</t>
  </si>
  <si>
    <t>L21_70_14_1-2</t>
  </si>
  <si>
    <t>L21_70_18_1-2</t>
  </si>
  <si>
    <t>L22_05_07_2</t>
  </si>
  <si>
    <t>L22_05_08_2</t>
  </si>
  <si>
    <t>L22_09_07_1-2</t>
  </si>
  <si>
    <t>L22_09_08_1-2</t>
  </si>
  <si>
    <t>L22_09_13_1-2</t>
  </si>
  <si>
    <t>L22_09_17_1-2</t>
  </si>
  <si>
    <t>L22_09_19_2</t>
  </si>
  <si>
    <t>L22_09_22_1-2</t>
  </si>
  <si>
    <t>L22_09_26_1-2</t>
  </si>
  <si>
    <t>L22_09_30_1-2</t>
  </si>
  <si>
    <t>ID9742b.2</t>
  </si>
  <si>
    <t>L22_111_07_2</t>
  </si>
  <si>
    <t>L22_111_10_2</t>
  </si>
  <si>
    <t>L22_111_16_2</t>
  </si>
  <si>
    <t>ID974f</t>
  </si>
  <si>
    <t>L22_112_07_2</t>
  </si>
  <si>
    <t>L22_129_09</t>
  </si>
  <si>
    <t>L22_131_01_2</t>
  </si>
  <si>
    <t>L22_131_02_2</t>
  </si>
  <si>
    <t>L22_131_03_2</t>
  </si>
  <si>
    <t>artifact, melanin</t>
  </si>
  <si>
    <t>L22_131_04_2</t>
  </si>
  <si>
    <t>L22_131_05_2</t>
  </si>
  <si>
    <t>L22_131_06_2</t>
  </si>
  <si>
    <t>L22_131_07_2</t>
  </si>
  <si>
    <t>L22_131_08_2</t>
  </si>
  <si>
    <t>L22_131_09_2</t>
  </si>
  <si>
    <t>L22_131_10_2</t>
  </si>
  <si>
    <t>unknown</t>
  </si>
  <si>
    <t>L22_131_17</t>
  </si>
  <si>
    <t>L22_131_18</t>
  </si>
  <si>
    <t>L22_131_19</t>
  </si>
  <si>
    <t>L22_131_20</t>
  </si>
  <si>
    <t>L22_131_21</t>
  </si>
  <si>
    <t>L22_131_22</t>
  </si>
  <si>
    <t>L22_131_23</t>
  </si>
  <si>
    <t>L22_131_24</t>
  </si>
  <si>
    <t>L22_131_25</t>
  </si>
  <si>
    <t>L22_131_26</t>
  </si>
  <si>
    <t>L22_131_27</t>
  </si>
  <si>
    <t>L22_131_31</t>
  </si>
  <si>
    <t>L22_131_37</t>
  </si>
  <si>
    <t>ID974h</t>
  </si>
  <si>
    <t>L22_137_12_2</t>
  </si>
  <si>
    <t>L22_137_14_2</t>
  </si>
  <si>
    <t>L22_17_03_1-2</t>
  </si>
  <si>
    <t>L22_18_09_1-2</t>
  </si>
  <si>
    <t>L22_18_10_1-2</t>
  </si>
  <si>
    <t>L22_18_11_1-2</t>
  </si>
  <si>
    <t>L22_18_12_2</t>
  </si>
  <si>
    <t>L22_18_13_2</t>
  </si>
  <si>
    <t>L22_18_15_2</t>
  </si>
  <si>
    <t>L22_20_02_1_2</t>
  </si>
  <si>
    <t>L22_20_06_1_2</t>
  </si>
  <si>
    <t>L22_20_09_1_2</t>
  </si>
  <si>
    <t>L22_20_14_1_2</t>
  </si>
  <si>
    <t>L22_20_19_1_2</t>
  </si>
  <si>
    <t>L22_20_23_1_2</t>
  </si>
  <si>
    <t>L22_20_26_1_2</t>
  </si>
  <si>
    <t>L22_20_30_1_2</t>
  </si>
  <si>
    <t>L22_20_34_1_2</t>
  </si>
  <si>
    <t>L22_20_38_1</t>
  </si>
  <si>
    <t>L22_20_41_1_2</t>
  </si>
  <si>
    <t>L22_20_48_1_2</t>
  </si>
  <si>
    <t>L22_29_03_2</t>
  </si>
  <si>
    <t>L22_29_06_2</t>
  </si>
  <si>
    <t>L22_29_09_2</t>
  </si>
  <si>
    <t>L22_45_07_2</t>
  </si>
  <si>
    <t>L22_45_28_2</t>
  </si>
  <si>
    <t>brown (okay), error</t>
  </si>
  <si>
    <t>L22_45_36_2</t>
  </si>
  <si>
    <t>L22_45_40_2</t>
  </si>
  <si>
    <t>error</t>
  </si>
  <si>
    <t>L22_45_44_2</t>
  </si>
  <si>
    <t>L22_70_01_2</t>
  </si>
  <si>
    <t>L22_70_02_2</t>
  </si>
  <si>
    <t>L22_70_03_2</t>
  </si>
  <si>
    <t>L22_70_04_2</t>
  </si>
  <si>
    <t>L22_70_05_2</t>
  </si>
  <si>
    <t>L22_70_06_2</t>
  </si>
  <si>
    <t>L22_70_07_2</t>
  </si>
  <si>
    <t>L22_70_23_2</t>
  </si>
  <si>
    <t>L22_70_28_2</t>
  </si>
  <si>
    <t>L22_70_47_2</t>
  </si>
  <si>
    <t>L22_70_53_2</t>
  </si>
  <si>
    <t>L22_70_60_2</t>
  </si>
  <si>
    <t>L22_70_64_2</t>
  </si>
  <si>
    <t>ID974e</t>
  </si>
  <si>
    <t>L22_89_12_2</t>
  </si>
  <si>
    <t>L22_35_4_1_2</t>
  </si>
  <si>
    <t>ID974k</t>
  </si>
  <si>
    <t>L23_46_06</t>
  </si>
  <si>
    <t>bubble</t>
  </si>
  <si>
    <t>ICH (brain)</t>
  </si>
  <si>
    <t>ICH (lung)</t>
  </si>
  <si>
    <t>Tissue</t>
  </si>
  <si>
    <t>age (weeks)</t>
  </si>
  <si>
    <t>sex</t>
  </si>
  <si>
    <t>Date of experiment (0 dpi)</t>
  </si>
  <si>
    <t>Date of euthanasia</t>
  </si>
  <si>
    <t>Mouse strain</t>
  </si>
  <si>
    <t>Date of processing</t>
  </si>
  <si>
    <t>Days between euthanasia and processing</t>
  </si>
  <si>
    <t>#animals per slide</t>
  </si>
  <si>
    <t>Experiment name</t>
  </si>
  <si>
    <t>SARS-CoV 2 Variant (general)</t>
  </si>
  <si>
    <t>Dose log10</t>
  </si>
  <si>
    <t>Histopathological score lung</t>
  </si>
  <si>
    <t>Histopathological score brain</t>
  </si>
  <si>
    <t>Clinical score</t>
  </si>
  <si>
    <t>qPCR swabs log10</t>
  </si>
  <si>
    <t>qPCR Brain (RNA/ml)</t>
  </si>
  <si>
    <t>qPCR brain log10</t>
  </si>
  <si>
    <t>Live virus (PFU/mouse) brain</t>
  </si>
  <si>
    <t>Live Virus log10 brain</t>
  </si>
  <si>
    <t>Live virus (PFU/mouse) lung</t>
  </si>
  <si>
    <t>Live Virus log10 lung</t>
  </si>
  <si>
    <t>comments</t>
  </si>
  <si>
    <t>Manual Score lung</t>
  </si>
  <si>
    <t>Rockland</t>
  </si>
  <si>
    <t>18-21</t>
  </si>
  <si>
    <t>F</t>
  </si>
  <si>
    <t>#3 WT</t>
  </si>
  <si>
    <t>WT</t>
  </si>
  <si>
    <t>cell signal</t>
  </si>
  <si>
    <t>MF perivascular cuffs and vasculitis and meningitis</t>
  </si>
  <si>
    <t>M</t>
  </si>
  <si>
    <t>delORF6-8</t>
  </si>
  <si>
    <t>Minimal MF perivascular cuffs/vasculitis/meningitis</t>
  </si>
  <si>
    <t>Minimal MF perivascular cuffs/vasculitis</t>
  </si>
  <si>
    <t>Focal cuff?</t>
  </si>
  <si>
    <t>10 to 23</t>
  </si>
  <si>
    <t>M/F</t>
  </si>
  <si>
    <t>Immunization OTS4-5, OTS7-8</t>
  </si>
  <si>
    <t>Meningeal and perivascular infiltrates, gliosis</t>
  </si>
  <si>
    <t>B</t>
  </si>
  <si>
    <t>Mild meningeal and minimal perivascular mononuclear infiltrates and neutrophils, MF mild gliosis</t>
  </si>
  <si>
    <t>7 p.v</t>
  </si>
  <si>
    <t>animal only vaccinated, no viral parameters were measured</t>
  </si>
  <si>
    <t>MF perivascular cuffing and meningeal infiltrates</t>
  </si>
  <si>
    <t>6 p.v</t>
  </si>
  <si>
    <t>found dead</t>
  </si>
  <si>
    <t>Meningeal and perivascular infiltrates, astroglyosis</t>
  </si>
  <si>
    <t>Meningeal and perivascular infiltrates, satelitosis, gliosis</t>
  </si>
  <si>
    <t>Perivascular cuffing, minimal meningeal infiltrates</t>
  </si>
  <si>
    <t>Mild perivascular infiltrates and meningeal infiltration, vasculitis</t>
  </si>
  <si>
    <t>Meningeal infiltrates, minimal perivascular infiltrates</t>
  </si>
  <si>
    <t>Gert Zimmer vaccination trials</t>
  </si>
  <si>
    <t>#49 WT</t>
  </si>
  <si>
    <t>Occasional, minimal acute hemorrhages</t>
  </si>
  <si>
    <t>Mild, MF, lymphocytic meningoencephalitis</t>
  </si>
  <si>
    <t>Mild, MF, neutrophilic and lymphocytic meningoencephalitis</t>
  </si>
  <si>
    <t>L+ B</t>
  </si>
  <si>
    <t>wt</t>
  </si>
  <si>
    <t>Very few perivascular infiltrates (?)</t>
  </si>
  <si>
    <t>#49</t>
  </si>
  <si>
    <t>Minimal perivascular cuffing, mf</t>
  </si>
  <si>
    <t>none Data found, Date of processing is guessed</t>
  </si>
  <si>
    <t>Minimal focal cuffing</t>
  </si>
  <si>
    <t>Occasional hemorrhage</t>
  </si>
  <si>
    <t>Protease KO infections</t>
  </si>
  <si>
    <t>Mild meningoencephalitis</t>
  </si>
  <si>
    <t>Minimal meningitis</t>
  </si>
  <si>
    <t>Immunization OTS4-5, OTS4-5-7-8 5000 PFU</t>
  </si>
  <si>
    <t>Mild perivascular cuffing</t>
  </si>
  <si>
    <t>mild lymphohistiocytic meningoencephalitis</t>
  </si>
  <si>
    <t>OTS228x105</t>
  </si>
  <si>
    <t>n7a</t>
  </si>
  <si>
    <t>Infection in C-K18 mice</t>
  </si>
  <si>
    <t>intranasal, C-K18 = Crossing between K18 and Balb/C mice</t>
  </si>
  <si>
    <t>intranasal</t>
  </si>
  <si>
    <t>nebulized</t>
  </si>
  <si>
    <t>C-K18 and K18 Single Aeroso</t>
  </si>
  <si>
    <t>1 or 2</t>
  </si>
  <si>
    <t>m</t>
  </si>
  <si>
    <t>zu lange im Formalin?</t>
  </si>
  <si>
    <t>SARS-CoV2 Brain</t>
  </si>
  <si>
    <t>BA5</t>
  </si>
  <si>
    <t>Vaccination: 06.04. / Boost: 04.05</t>
  </si>
  <si>
    <t xml:space="preserve">Mild lymphohistiocytic meningoencephalitis </t>
  </si>
  <si>
    <t>Mild lymphocytic encephalitis</t>
  </si>
  <si>
    <t>k18</t>
  </si>
  <si>
    <t>Omicron individual infection</t>
  </si>
  <si>
    <t>Minimal meningoencephalitis with minimal vasculitis</t>
  </si>
  <si>
    <t>SARS-CoV-2 nebulisation</t>
  </si>
  <si>
    <t>Focal-extensive gliosis</t>
  </si>
  <si>
    <t>Focal astrogliosis with neuronal necrosis</t>
  </si>
  <si>
    <t>Perivascular lymphohistiocytic infiltration</t>
  </si>
  <si>
    <t>Immunization with sCPD9, OTS4578.NSP1.dORF6-8</t>
  </si>
  <si>
    <t>no Data available, OTS206</t>
  </si>
  <si>
    <t>L22-35_4_1_2</t>
  </si>
  <si>
    <t>Delta isolate</t>
  </si>
  <si>
    <t>#48 WT</t>
  </si>
  <si>
    <t>Histopathological score brain text</t>
  </si>
  <si>
    <t>qPCR Lung log10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</si>
</sst>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7"/>
      <color rgb="FF242424"/>
      <name val="Aptos Narrow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 diagonalDown="1"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5">
    <xf numFmtId="0" fontId="0" fillId="0" borderId="0" xfId="0"/>
    <xf numFmtId="11" fontId="0" fillId="0" borderId="0" xfId="0" applyNumberFormat="1"/>
    <xf numFmtId="0" fontId="0" fillId="34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 applyAlignment="1">
      <alignment horizontal="center" vertical="center" wrapText="1"/>
    </xf>
    <xf numFmtId="0" fontId="16" fillId="40" borderId="10" xfId="0" applyFont="1" applyFill="1" applyBorder="1" applyAlignment="1">
      <alignment horizontal="center" vertical="center" wrapText="1"/>
    </xf>
    <xf numFmtId="0" fontId="16" fillId="41" borderId="10" xfId="0" applyFont="1" applyFill="1" applyBorder="1" applyAlignment="1">
      <alignment horizontal="center" vertical="center" wrapText="1"/>
    </xf>
    <xf numFmtId="0" fontId="16" fillId="42" borderId="10" xfId="0" applyFont="1" applyFill="1" applyBorder="1" applyAlignment="1">
      <alignment horizontal="center" vertical="center"/>
    </xf>
    <xf numFmtId="0" fontId="16" fillId="42" borderId="10" xfId="0" applyFont="1" applyFill="1" applyBorder="1" applyAlignment="1">
      <alignment horizontal="center" vertical="center" wrapText="1"/>
    </xf>
    <xf numFmtId="0" fontId="18" fillId="4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9" fillId="44" borderId="10" xfId="0" applyFont="1" applyFill="1" applyBorder="1" applyAlignment="1">
      <alignment horizontal="center" vertical="center" wrapText="1"/>
    </xf>
    <xf numFmtId="11" fontId="19" fillId="44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45" borderId="11" xfId="0" applyFill="1" applyBorder="1" applyAlignment="1">
      <alignment horizontal="center" vertical="center"/>
    </xf>
    <xf numFmtId="0" fontId="0" fillId="46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vertical="center"/>
    </xf>
    <xf numFmtId="14" fontId="0" fillId="0" borderId="11" xfId="0" applyNumberFormat="1" applyBorder="1" applyAlignment="1">
      <alignment horizontal="center" vertical="center"/>
    </xf>
    <xf numFmtId="1" fontId="0" fillId="47" borderId="11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47" borderId="11" xfId="0" applyFont="1" applyFill="1" applyBorder="1" applyAlignment="1">
      <alignment horizontal="center" vertical="center" wrapText="1"/>
    </xf>
    <xf numFmtId="11" fontId="20" fillId="0" borderId="11" xfId="0" applyNumberFormat="1" applyFont="1" applyBorder="1" applyAlignment="1">
      <alignment horizontal="center" vertical="center" wrapText="1"/>
    </xf>
    <xf numFmtId="11" fontId="20" fillId="48" borderId="11" xfId="0" applyNumberFormat="1" applyFont="1" applyFill="1" applyBorder="1" applyAlignment="1">
      <alignment horizontal="center" vertical="center" wrapText="1"/>
    </xf>
    <xf numFmtId="11" fontId="21" fillId="0" borderId="11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1" fontId="20" fillId="0" borderId="13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top" wrapText="1"/>
    </xf>
    <xf numFmtId="0" fontId="0" fillId="0" borderId="14" xfId="0" applyBorder="1"/>
    <xf numFmtId="0" fontId="0" fillId="46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4" xfId="0" applyNumberFormat="1" applyBorder="1" applyAlignment="1">
      <alignment vertical="center"/>
    </xf>
    <xf numFmtId="14" fontId="0" fillId="0" borderId="14" xfId="0" applyNumberFormat="1" applyBorder="1" applyAlignment="1">
      <alignment horizontal="center" vertical="center"/>
    </xf>
    <xf numFmtId="1" fontId="0" fillId="47" borderId="14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47" borderId="14" xfId="0" applyFont="1" applyFill="1" applyBorder="1" applyAlignment="1">
      <alignment horizontal="center" vertical="center"/>
    </xf>
    <xf numFmtId="0" fontId="20" fillId="47" borderId="14" xfId="0" applyFont="1" applyFill="1" applyBorder="1" applyAlignment="1">
      <alignment horizontal="center"/>
    </xf>
    <xf numFmtId="11" fontId="20" fillId="0" borderId="14" xfId="0" applyNumberFormat="1" applyFont="1" applyBorder="1" applyAlignment="1">
      <alignment horizontal="center" vertical="center" wrapText="1"/>
    </xf>
    <xf numFmtId="11" fontId="20" fillId="48" borderId="14" xfId="0" applyNumberFormat="1" applyFont="1" applyFill="1" applyBorder="1" applyAlignment="1">
      <alignment horizontal="center" vertical="center" wrapText="1"/>
    </xf>
    <xf numFmtId="11" fontId="21" fillId="0" borderId="14" xfId="0" applyNumberFormat="1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left" vertical="top" wrapText="1"/>
    </xf>
    <xf numFmtId="0" fontId="0" fillId="45" borderId="14" xfId="0" applyFill="1" applyBorder="1" applyAlignment="1">
      <alignment horizontal="center" vertical="center"/>
    </xf>
    <xf numFmtId="0" fontId="0" fillId="47" borderId="14" xfId="0" applyFill="1" applyBorder="1" applyAlignment="1">
      <alignment horizontal="center" vertical="center"/>
    </xf>
    <xf numFmtId="11" fontId="0" fillId="48" borderId="14" xfId="0" applyNumberFormat="1" applyFill="1" applyBorder="1" applyAlignment="1">
      <alignment horizontal="center" vertical="center"/>
    </xf>
    <xf numFmtId="2" fontId="0" fillId="47" borderId="14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left" vertical="top"/>
    </xf>
    <xf numFmtId="0" fontId="20" fillId="47" borderId="14" xfId="0" applyFont="1" applyFill="1" applyBorder="1" applyAlignment="1">
      <alignment horizontal="center" vertical="center" wrapText="1"/>
    </xf>
    <xf numFmtId="0" fontId="21" fillId="47" borderId="14" xfId="0" applyFont="1" applyFill="1" applyBorder="1" applyAlignment="1">
      <alignment horizontal="center" vertical="center" wrapText="1"/>
    </xf>
    <xf numFmtId="11" fontId="0" fillId="47" borderId="14" xfId="0" applyNumberFormat="1" applyFill="1" applyBorder="1" applyAlignment="1">
      <alignment horizontal="center" vertical="center"/>
    </xf>
    <xf numFmtId="11" fontId="20" fillId="47" borderId="14" xfId="0" applyNumberFormat="1" applyFont="1" applyFill="1" applyBorder="1" applyAlignment="1">
      <alignment horizontal="center" vertical="center" wrapText="1"/>
    </xf>
    <xf numFmtId="2" fontId="20" fillId="47" borderId="14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45" borderId="16" xfId="0" applyFill="1" applyBorder="1" applyAlignment="1">
      <alignment horizontal="center" vertical="center"/>
    </xf>
    <xf numFmtId="0" fontId="0" fillId="46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vertical="center"/>
    </xf>
    <xf numFmtId="14" fontId="0" fillId="0" borderId="16" xfId="0" applyNumberFormat="1" applyBorder="1" applyAlignment="1">
      <alignment horizontal="center" vertical="center"/>
    </xf>
    <xf numFmtId="1" fontId="0" fillId="47" borderId="16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7" borderId="16" xfId="0" applyFill="1" applyBorder="1" applyAlignment="1">
      <alignment horizontal="center" vertical="center"/>
    </xf>
    <xf numFmtId="11" fontId="0" fillId="47" borderId="16" xfId="0" applyNumberFormat="1" applyFill="1" applyBorder="1" applyAlignment="1">
      <alignment horizontal="center" vertical="center"/>
    </xf>
    <xf numFmtId="0" fontId="20" fillId="47" borderId="16" xfId="0" applyFont="1" applyFill="1" applyBorder="1" applyAlignment="1">
      <alignment horizontal="center" vertical="center" wrapText="1"/>
    </xf>
    <xf numFmtId="11" fontId="20" fillId="47" borderId="16" xfId="0" applyNumberFormat="1" applyFont="1" applyFill="1" applyBorder="1" applyAlignment="1">
      <alignment horizontal="center" vertical="center" wrapText="1"/>
    </xf>
    <xf numFmtId="11" fontId="20" fillId="48" borderId="16" xfId="0" applyNumberFormat="1" applyFont="1" applyFill="1" applyBorder="1" applyAlignment="1">
      <alignment horizontal="center" vertical="center" wrapText="1"/>
    </xf>
    <xf numFmtId="11" fontId="0" fillId="0" borderId="16" xfId="0" applyNumberFormat="1" applyBorder="1" applyAlignment="1">
      <alignment horizontal="center" vertical="center"/>
    </xf>
    <xf numFmtId="11" fontId="21" fillId="0" borderId="16" xfId="0" applyNumberFormat="1" applyFont="1" applyBorder="1" applyAlignment="1">
      <alignment horizontal="center" vertical="center" wrapText="1"/>
    </xf>
    <xf numFmtId="11" fontId="20" fillId="0" borderId="16" xfId="0" applyNumberFormat="1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1" fontId="20" fillId="0" borderId="10" xfId="0" applyNumberFormat="1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left" vertical="top" wrapText="1"/>
    </xf>
    <xf numFmtId="0" fontId="0" fillId="0" borderId="18" xfId="0" applyBorder="1"/>
    <xf numFmtId="0" fontId="0" fillId="46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8" xfId="0" applyNumberFormat="1" applyBorder="1" applyAlignment="1">
      <alignment vertical="center"/>
    </xf>
    <xf numFmtId="14" fontId="0" fillId="0" borderId="18" xfId="0" applyNumberForma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" fontId="0" fillId="47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/>
    </xf>
    <xf numFmtId="0" fontId="22" fillId="47" borderId="18" xfId="0" applyFont="1" applyFill="1" applyBorder="1" applyAlignment="1">
      <alignment horizontal="center" vertical="center"/>
    </xf>
    <xf numFmtId="11" fontId="0" fillId="47" borderId="18" xfId="0" applyNumberFormat="1" applyFill="1" applyBorder="1" applyAlignment="1">
      <alignment horizontal="center" vertical="center"/>
    </xf>
    <xf numFmtId="0" fontId="0" fillId="47" borderId="18" xfId="0" applyFill="1" applyBorder="1" applyAlignment="1">
      <alignment horizontal="center" vertical="center"/>
    </xf>
    <xf numFmtId="0" fontId="20" fillId="47" borderId="18" xfId="0" applyFont="1" applyFill="1" applyBorder="1" applyAlignment="1">
      <alignment horizontal="center" vertical="center"/>
    </xf>
    <xf numFmtId="0" fontId="20" fillId="47" borderId="18" xfId="0" applyFont="1" applyFill="1" applyBorder="1" applyAlignment="1">
      <alignment horizontal="center"/>
    </xf>
    <xf numFmtId="0" fontId="0" fillId="47" borderId="18" xfId="0" applyFill="1" applyBorder="1" applyAlignment="1">
      <alignment horizontal="center" vertical="center" wrapText="1"/>
    </xf>
    <xf numFmtId="0" fontId="0" fillId="50" borderId="11" xfId="0" applyFill="1" applyBorder="1" applyAlignment="1">
      <alignment horizontal="center" vertical="center" wrapText="1"/>
    </xf>
    <xf numFmtId="0" fontId="23" fillId="0" borderId="18" xfId="0" applyFont="1" applyBorder="1" applyAlignment="1">
      <alignment horizontal="center"/>
    </xf>
    <xf numFmtId="0" fontId="0" fillId="0" borderId="18" xfId="0" applyBorder="1" applyAlignment="1">
      <alignment horizontal="left" vertical="top"/>
    </xf>
    <xf numFmtId="0" fontId="20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2" fillId="47" borderId="14" xfId="0" applyFont="1" applyFill="1" applyBorder="1" applyAlignment="1">
      <alignment horizontal="center" vertical="center"/>
    </xf>
    <xf numFmtId="0" fontId="0" fillId="47" borderId="14" xfId="0" applyFill="1" applyBorder="1" applyAlignment="1">
      <alignment horizontal="center" vertical="center" wrapText="1"/>
    </xf>
    <xf numFmtId="0" fontId="0" fillId="50" borderId="14" xfId="0" applyFill="1" applyBorder="1" applyAlignment="1">
      <alignment horizontal="center" vertical="center"/>
    </xf>
    <xf numFmtId="0" fontId="0" fillId="50" borderId="14" xfId="0" applyFill="1" applyBorder="1" applyAlignment="1">
      <alignment horizontal="center" vertical="center" wrapText="1"/>
    </xf>
    <xf numFmtId="0" fontId="0" fillId="0" borderId="10" xfId="0" applyBorder="1"/>
    <xf numFmtId="0" fontId="0" fillId="46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vertical="center"/>
    </xf>
    <xf numFmtId="14" fontId="0" fillId="0" borderId="10" xfId="0" applyNumberForma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0" fillId="47" borderId="10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2" fillId="47" borderId="10" xfId="0" applyFont="1" applyFill="1" applyBorder="1" applyAlignment="1">
      <alignment horizontal="center" vertical="center"/>
    </xf>
    <xf numFmtId="11" fontId="0" fillId="47" borderId="10" xfId="0" applyNumberForma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 wrapText="1"/>
    </xf>
    <xf numFmtId="0" fontId="23" fillId="0" borderId="16" xfId="0" applyFont="1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center" vertical="center" wrapText="1"/>
    </xf>
    <xf numFmtId="0" fontId="0" fillId="47" borderId="11" xfId="0" applyFill="1" applyBorder="1" applyAlignment="1">
      <alignment horizontal="center" vertical="center"/>
    </xf>
    <xf numFmtId="11" fontId="0" fillId="47" borderId="11" xfId="0" applyNumberFormat="1" applyFill="1" applyBorder="1" applyAlignment="1">
      <alignment horizontal="center" vertical="center"/>
    </xf>
    <xf numFmtId="0" fontId="0" fillId="47" borderId="11" xfId="0" applyFill="1" applyBorder="1"/>
    <xf numFmtId="11" fontId="20" fillId="47" borderId="11" xfId="0" applyNumberFormat="1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0" fillId="47" borderId="11" xfId="0" applyFill="1" applyBorder="1" applyAlignment="1">
      <alignment horizontal="center" vertical="center" wrapText="1"/>
    </xf>
    <xf numFmtId="0" fontId="0" fillId="48" borderId="14" xfId="0" applyFill="1" applyBorder="1" applyAlignment="1">
      <alignment horizontal="center" vertical="center"/>
    </xf>
    <xf numFmtId="0" fontId="0" fillId="48" borderId="18" xfId="0" applyFill="1" applyBorder="1" applyAlignment="1">
      <alignment horizontal="center" vertical="center" wrapText="1"/>
    </xf>
    <xf numFmtId="11" fontId="24" fillId="0" borderId="16" xfId="0" applyNumberFormat="1" applyFont="1" applyBorder="1" applyAlignment="1">
      <alignment horizontal="center" vertical="center"/>
    </xf>
    <xf numFmtId="11" fontId="25" fillId="0" borderId="16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0" fillId="47" borderId="18" xfId="0" applyFont="1" applyFill="1" applyBorder="1" applyAlignment="1">
      <alignment horizontal="center" vertical="center" wrapText="1"/>
    </xf>
    <xf numFmtId="11" fontId="20" fillId="47" borderId="18" xfId="0" applyNumberFormat="1" applyFont="1" applyFill="1" applyBorder="1" applyAlignment="1">
      <alignment horizontal="center" vertical="center" wrapText="1"/>
    </xf>
    <xf numFmtId="11" fontId="25" fillId="0" borderId="10" xfId="0" applyNumberFormat="1" applyFont="1" applyBorder="1" applyAlignment="1">
      <alignment horizontal="center" vertical="center"/>
    </xf>
    <xf numFmtId="0" fontId="20" fillId="47" borderId="18" xfId="0" applyFont="1" applyFill="1" applyBorder="1" applyAlignment="1">
      <alignment horizontal="left" vertical="top" wrapText="1"/>
    </xf>
    <xf numFmtId="0" fontId="20" fillId="0" borderId="18" xfId="0" applyFont="1" applyBorder="1" applyAlignment="1">
      <alignment horizontal="center" vertical="center" wrapText="1"/>
    </xf>
    <xf numFmtId="0" fontId="0" fillId="47" borderId="14" xfId="0" applyFill="1" applyBorder="1"/>
    <xf numFmtId="11" fontId="20" fillId="47" borderId="14" xfId="0" applyNumberFormat="1" applyFont="1" applyFill="1" applyBorder="1" applyAlignment="1">
      <alignment horizontal="center" vertical="center"/>
    </xf>
    <xf numFmtId="11" fontId="25" fillId="0" borderId="14" xfId="0" applyNumberFormat="1" applyFont="1" applyBorder="1" applyAlignment="1">
      <alignment horizontal="center" vertical="center"/>
    </xf>
    <xf numFmtId="0" fontId="20" fillId="47" borderId="14" xfId="0" applyFont="1" applyFill="1" applyBorder="1" applyAlignment="1">
      <alignment horizontal="left" vertical="top" wrapText="1"/>
    </xf>
    <xf numFmtId="11" fontId="21" fillId="0" borderId="14" xfId="0" applyNumberFormat="1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0" fillId="45" borderId="10" xfId="0" applyFill="1" applyBorder="1" applyAlignment="1">
      <alignment horizontal="center" vertical="center"/>
    </xf>
    <xf numFmtId="0" fontId="20" fillId="47" borderId="10" xfId="0" applyFont="1" applyFill="1" applyBorder="1" applyAlignment="1">
      <alignment horizontal="center" vertical="center" wrapText="1"/>
    </xf>
    <xf numFmtId="11" fontId="20" fillId="47" borderId="10" xfId="0" applyNumberFormat="1" applyFont="1" applyFill="1" applyBorder="1" applyAlignment="1">
      <alignment horizontal="center" vertical="center" wrapText="1"/>
    </xf>
    <xf numFmtId="0" fontId="20" fillId="47" borderId="10" xfId="0" applyFont="1" applyFill="1" applyBorder="1" applyAlignment="1">
      <alignment horizontal="left" vertical="top" wrapText="1"/>
    </xf>
    <xf numFmtId="0" fontId="20" fillId="0" borderId="10" xfId="0" applyFont="1" applyBorder="1" applyAlignment="1">
      <alignment horizontal="center" vertical="center" wrapText="1"/>
    </xf>
    <xf numFmtId="14" fontId="0" fillId="47" borderId="11" xfId="0" applyNumberFormat="1" applyFill="1" applyBorder="1" applyAlignment="1">
      <alignment horizontal="center" vertical="center"/>
    </xf>
    <xf numFmtId="0" fontId="0" fillId="47" borderId="17" xfId="0" applyFill="1" applyBorder="1" applyAlignment="1">
      <alignment horizontal="center" vertical="center" wrapText="1"/>
    </xf>
    <xf numFmtId="0" fontId="20" fillId="47" borderId="11" xfId="0" applyFont="1" applyFill="1" applyBorder="1" applyAlignment="1">
      <alignment horizontal="center" vertical="center"/>
    </xf>
    <xf numFmtId="0" fontId="20" fillId="47" borderId="11" xfId="0" applyFont="1" applyFill="1" applyBorder="1"/>
    <xf numFmtId="11" fontId="20" fillId="50" borderId="11" xfId="0" applyNumberFormat="1" applyFont="1" applyFill="1" applyBorder="1" applyAlignment="1">
      <alignment horizontal="center" vertical="center"/>
    </xf>
    <xf numFmtId="11" fontId="20" fillId="47" borderId="11" xfId="0" applyNumberFormat="1" applyFont="1" applyFill="1" applyBorder="1" applyAlignment="1">
      <alignment horizontal="center" vertical="center"/>
    </xf>
    <xf numFmtId="11" fontId="21" fillId="0" borderId="11" xfId="0" applyNumberFormat="1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11" fontId="20" fillId="47" borderId="13" xfId="0" applyNumberFormat="1" applyFont="1" applyFill="1" applyBorder="1" applyAlignment="1">
      <alignment horizontal="center" vertical="center"/>
    </xf>
    <xf numFmtId="0" fontId="20" fillId="47" borderId="11" xfId="0" applyFont="1" applyFill="1" applyBorder="1" applyAlignment="1">
      <alignment horizontal="left" vertical="top" wrapText="1"/>
    </xf>
    <xf numFmtId="11" fontId="20" fillId="50" borderId="14" xfId="0" applyNumberFormat="1" applyFont="1" applyFill="1" applyBorder="1" applyAlignment="1">
      <alignment horizontal="center" vertical="center"/>
    </xf>
    <xf numFmtId="11" fontId="20" fillId="50" borderId="16" xfId="0" applyNumberFormat="1" applyFont="1" applyFill="1" applyBorder="1" applyAlignment="1">
      <alignment horizontal="center" vertical="center"/>
    </xf>
    <xf numFmtId="11" fontId="20" fillId="47" borderId="16" xfId="0" applyNumberFormat="1" applyFont="1" applyFill="1" applyBorder="1" applyAlignment="1">
      <alignment horizontal="center" vertical="center"/>
    </xf>
    <xf numFmtId="0" fontId="20" fillId="47" borderId="16" xfId="0" applyFont="1" applyFill="1" applyBorder="1" applyAlignment="1">
      <alignment horizontal="left" vertical="top" wrapText="1"/>
    </xf>
    <xf numFmtId="14" fontId="0" fillId="47" borderId="18" xfId="0" applyNumberFormat="1" applyFill="1" applyBorder="1" applyAlignment="1">
      <alignment vertical="center"/>
    </xf>
    <xf numFmtId="14" fontId="0" fillId="47" borderId="18" xfId="0" applyNumberFormat="1" applyFill="1" applyBorder="1" applyAlignment="1">
      <alignment horizontal="center" vertical="center"/>
    </xf>
    <xf numFmtId="0" fontId="0" fillId="50" borderId="18" xfId="0" applyFill="1" applyBorder="1" applyAlignment="1">
      <alignment horizontal="center" vertical="center"/>
    </xf>
    <xf numFmtId="0" fontId="0" fillId="48" borderId="18" xfId="0" applyFill="1" applyBorder="1" applyAlignment="1">
      <alignment horizontal="center" vertical="center"/>
    </xf>
    <xf numFmtId="0" fontId="0" fillId="47" borderId="18" xfId="0" applyFill="1" applyBorder="1" applyAlignment="1">
      <alignment horizontal="left" vertical="top"/>
    </xf>
    <xf numFmtId="14" fontId="0" fillId="47" borderId="10" xfId="0" applyNumberFormat="1" applyFill="1" applyBorder="1" applyAlignment="1">
      <alignment vertical="center"/>
    </xf>
    <xf numFmtId="14" fontId="0" fillId="47" borderId="10" xfId="0" applyNumberFormat="1" applyFill="1" applyBorder="1" applyAlignment="1">
      <alignment horizontal="center" vertical="center"/>
    </xf>
    <xf numFmtId="0" fontId="0" fillId="50" borderId="10" xfId="0" applyFill="1" applyBorder="1" applyAlignment="1">
      <alignment horizontal="center" vertical="center"/>
    </xf>
    <xf numFmtId="0" fontId="0" fillId="50" borderId="16" xfId="0" applyFill="1" applyBorder="1" applyAlignment="1">
      <alignment horizontal="center" vertical="center"/>
    </xf>
    <xf numFmtId="0" fontId="0" fillId="47" borderId="21" xfId="0" applyFill="1" applyBorder="1" applyAlignment="1">
      <alignment horizontal="center" vertical="center"/>
    </xf>
    <xf numFmtId="0" fontId="0" fillId="48" borderId="10" xfId="0" applyFill="1" applyBorder="1" applyAlignment="1">
      <alignment horizontal="center" vertical="center"/>
    </xf>
    <xf numFmtId="0" fontId="0" fillId="47" borderId="10" xfId="0" applyFill="1" applyBorder="1" applyAlignment="1">
      <alignment horizontal="left" vertical="top"/>
    </xf>
    <xf numFmtId="0" fontId="23" fillId="0" borderId="18" xfId="0" applyFont="1" applyBorder="1" applyAlignment="1">
      <alignment horizontal="center" vertical="center"/>
    </xf>
    <xf numFmtId="0" fontId="0" fillId="50" borderId="11" xfId="0" applyFill="1" applyBorder="1" applyAlignment="1">
      <alignment horizontal="center" vertical="center"/>
    </xf>
    <xf numFmtId="11" fontId="0" fillId="50" borderId="11" xfId="0" applyNumberForma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11" fontId="0" fillId="50" borderId="14" xfId="0" applyNumberFormat="1" applyFill="1" applyBorder="1" applyAlignment="1">
      <alignment horizontal="center" vertical="center"/>
    </xf>
    <xf numFmtId="0" fontId="23" fillId="47" borderId="14" xfId="0" applyFont="1" applyFill="1" applyBorder="1" applyAlignment="1">
      <alignment horizontal="center" vertical="center"/>
    </xf>
    <xf numFmtId="0" fontId="0" fillId="47" borderId="14" xfId="0" applyFill="1" applyBorder="1" applyAlignment="1">
      <alignment horizontal="left" vertical="top"/>
    </xf>
    <xf numFmtId="11" fontId="0" fillId="50" borderId="16" xfId="0" applyNumberFormat="1" applyFill="1" applyBorder="1" applyAlignment="1">
      <alignment horizontal="center" vertical="center"/>
    </xf>
    <xf numFmtId="0" fontId="23" fillId="47" borderId="16" xfId="0" applyFont="1" applyFill="1" applyBorder="1" applyAlignment="1">
      <alignment horizontal="center" vertical="center"/>
    </xf>
    <xf numFmtId="0" fontId="0" fillId="45" borderId="1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0" fillId="47" borderId="10" xfId="0" applyFont="1" applyFill="1" applyBorder="1" applyAlignment="1">
      <alignment horizontal="center" vertical="center"/>
    </xf>
    <xf numFmtId="11" fontId="21" fillId="0" borderId="23" xfId="0" applyNumberFormat="1" applyFont="1" applyBorder="1" applyAlignment="1">
      <alignment horizontal="center" vertical="center"/>
    </xf>
    <xf numFmtId="11" fontId="20" fillId="47" borderId="10" xfId="0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0" fillId="0" borderId="24" xfId="0" applyBorder="1"/>
    <xf numFmtId="0" fontId="0" fillId="46" borderId="24" xfId="0" applyFill="1" applyBorder="1" applyAlignment="1">
      <alignment horizontal="center" vertical="center"/>
    </xf>
    <xf numFmtId="0" fontId="0" fillId="45" borderId="24" xfId="0" applyFill="1" applyBorder="1" applyAlignment="1">
      <alignment horizontal="center" vertical="center"/>
    </xf>
    <xf numFmtId="0" fontId="0" fillId="47" borderId="24" xfId="0" applyFill="1" applyBorder="1" applyAlignment="1">
      <alignment horizontal="center" vertical="center"/>
    </xf>
    <xf numFmtId="14" fontId="0" fillId="47" borderId="24" xfId="0" applyNumberFormat="1" applyFill="1" applyBorder="1" applyAlignment="1">
      <alignment horizontal="center" vertical="center"/>
    </xf>
    <xf numFmtId="1" fontId="0" fillId="47" borderId="24" xfId="0" applyNumberFormat="1" applyFill="1" applyBorder="1" applyAlignment="1">
      <alignment horizontal="center" vertical="center"/>
    </xf>
    <xf numFmtId="0" fontId="0" fillId="47" borderId="25" xfId="0" applyFill="1" applyBorder="1" applyAlignment="1">
      <alignment horizontal="center" vertical="center"/>
    </xf>
    <xf numFmtId="0" fontId="0" fillId="49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0" borderId="14" xfId="0" applyFont="1" applyBorder="1"/>
    <xf numFmtId="0" fontId="0" fillId="48" borderId="24" xfId="0" applyFill="1" applyBorder="1" applyAlignment="1">
      <alignment horizontal="center" vertical="center"/>
    </xf>
    <xf numFmtId="0" fontId="20" fillId="47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top"/>
    </xf>
    <xf numFmtId="0" fontId="0" fillId="48" borderId="11" xfId="0" applyFill="1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0" fillId="48" borderId="16" xfId="0" applyFill="1" applyBorder="1" applyAlignment="1">
      <alignment horizontal="center" vertical="center"/>
    </xf>
    <xf numFmtId="0" fontId="0" fillId="0" borderId="16" xfId="0" applyBorder="1" applyAlignment="1">
      <alignment horizontal="left" vertical="top"/>
    </xf>
    <xf numFmtId="0" fontId="20" fillId="48" borderId="18" xfId="0" applyFont="1" applyFill="1" applyBorder="1" applyAlignment="1">
      <alignment horizontal="center" vertical="center"/>
    </xf>
    <xf numFmtId="1" fontId="0" fillId="48" borderId="18" xfId="0" applyNumberFormat="1" applyFill="1" applyBorder="1" applyAlignment="1">
      <alignment horizontal="center" vertical="center"/>
    </xf>
    <xf numFmtId="11" fontId="22" fillId="0" borderId="18" xfId="0" applyNumberFormat="1" applyFont="1" applyBorder="1" applyAlignment="1">
      <alignment horizontal="center" vertical="center"/>
    </xf>
    <xf numFmtId="14" fontId="0" fillId="47" borderId="14" xfId="0" applyNumberFormat="1" applyFill="1" applyBorder="1" applyAlignment="1">
      <alignment vertical="center"/>
    </xf>
    <xf numFmtId="0" fontId="20" fillId="48" borderId="14" xfId="0" applyFont="1" applyFill="1" applyBorder="1" applyAlignment="1">
      <alignment horizontal="center" vertical="center"/>
    </xf>
    <xf numFmtId="1" fontId="0" fillId="48" borderId="14" xfId="0" applyNumberFormat="1" applyFill="1" applyBorder="1" applyAlignment="1">
      <alignment horizontal="center" vertical="center"/>
    </xf>
    <xf numFmtId="11" fontId="22" fillId="0" borderId="14" xfId="0" applyNumberFormat="1" applyFont="1" applyBorder="1" applyAlignment="1">
      <alignment horizontal="center" vertical="center"/>
    </xf>
    <xf numFmtId="14" fontId="0" fillId="48" borderId="14" xfId="0" applyNumberFormat="1" applyFill="1" applyBorder="1" applyAlignment="1">
      <alignment horizontal="center" vertical="center"/>
    </xf>
    <xf numFmtId="0" fontId="21" fillId="48" borderId="14" xfId="0" applyFont="1" applyFill="1" applyBorder="1" applyAlignment="1">
      <alignment horizontal="center" vertical="center" wrapText="1"/>
    </xf>
    <xf numFmtId="0" fontId="0" fillId="51" borderId="14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0" fillId="48" borderId="10" xfId="0" applyFont="1" applyFill="1" applyBorder="1" applyAlignment="1">
      <alignment horizontal="center" vertical="center"/>
    </xf>
    <xf numFmtId="14" fontId="0" fillId="48" borderId="10" xfId="0" applyNumberFormat="1" applyFill="1" applyBorder="1" applyAlignment="1">
      <alignment horizontal="center" vertical="center"/>
    </xf>
    <xf numFmtId="0" fontId="21" fillId="48" borderId="10" xfId="0" applyFont="1" applyFill="1" applyBorder="1" applyAlignment="1">
      <alignment horizontal="center" vertical="center" wrapText="1"/>
    </xf>
    <xf numFmtId="0" fontId="0" fillId="51" borderId="10" xfId="0" applyFill="1" applyBorder="1" applyAlignment="1">
      <alignment horizontal="center" vertical="center"/>
    </xf>
    <xf numFmtId="0" fontId="0" fillId="0" borderId="21" xfId="0" applyBorder="1"/>
    <xf numFmtId="0" fontId="0" fillId="45" borderId="21" xfId="0" applyFill="1" applyBorder="1" applyAlignment="1">
      <alignment horizontal="center" vertical="center"/>
    </xf>
    <xf numFmtId="0" fontId="0" fillId="46" borderId="21" xfId="0" applyFill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" fontId="0" fillId="47" borderId="21" xfId="0" applyNumberFormat="1" applyFill="1" applyBorder="1" applyAlignment="1">
      <alignment horizontal="center" vertical="center"/>
    </xf>
    <xf numFmtId="11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47" borderId="21" xfId="0" applyFill="1" applyBorder="1" applyAlignment="1">
      <alignment horizontal="center" vertical="center" wrapText="1"/>
    </xf>
    <xf numFmtId="11" fontId="0" fillId="0" borderId="21" xfId="0" applyNumberForma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6" fillId="0" borderId="0" xfId="0" applyFont="1"/>
    <xf numFmtId="11" fontId="20" fillId="0" borderId="18" xfId="0" applyNumberFormat="1" applyFont="1" applyBorder="1" applyAlignment="1">
      <alignment horizontal="center" vertical="center" wrapText="1"/>
    </xf>
    <xf numFmtId="0" fontId="20" fillId="0" borderId="18" xfId="0" applyFont="1" applyBorder="1" applyAlignment="1">
      <alignment horizontal="left" vertical="top" wrapText="1"/>
    </xf>
    <xf numFmtId="0" fontId="20" fillId="0" borderId="14" xfId="0" applyFont="1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11" fontId="21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top" wrapText="1"/>
    </xf>
    <xf numFmtId="14" fontId="0" fillId="47" borderId="11" xfId="0" applyNumberFormat="1" applyFill="1" applyBorder="1" applyAlignment="1">
      <alignment vertical="center"/>
    </xf>
    <xf numFmtId="14" fontId="0" fillId="47" borderId="14" xfId="0" applyNumberFormat="1" applyFill="1" applyBorder="1" applyAlignment="1">
      <alignment horizontal="center" vertical="center"/>
    </xf>
    <xf numFmtId="0" fontId="0" fillId="47" borderId="15" xfId="0" applyFill="1" applyBorder="1" applyAlignment="1">
      <alignment horizontal="center" vertical="center" wrapText="1"/>
    </xf>
    <xf numFmtId="11" fontId="25" fillId="0" borderId="11" xfId="0" applyNumberFormat="1" applyFont="1" applyBorder="1" applyAlignment="1">
      <alignment horizontal="center" vertical="center"/>
    </xf>
    <xf numFmtId="0" fontId="20" fillId="50" borderId="11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1" fillId="47" borderId="26" xfId="0" applyFont="1" applyFill="1" applyBorder="1" applyAlignment="1">
      <alignment horizontal="center" vertical="center" wrapText="1"/>
    </xf>
    <xf numFmtId="0" fontId="20" fillId="50" borderId="14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1" fillId="47" borderId="10" xfId="0" applyFont="1" applyFill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11" fontId="21" fillId="0" borderId="14" xfId="0" applyNumberFormat="1" applyFont="1" applyBorder="1" applyAlignment="1">
      <alignment horizontal="center" vertical="center"/>
    </xf>
    <xf numFmtId="11" fontId="20" fillId="0" borderId="14" xfId="0" applyNumberFormat="1" applyFont="1" applyBorder="1" applyAlignment="1">
      <alignment horizontal="center" vertical="center"/>
    </xf>
    <xf numFmtId="11" fontId="20" fillId="48" borderId="14" xfId="0" applyNumberFormat="1" applyFont="1" applyFill="1" applyBorder="1" applyAlignment="1">
      <alignment horizontal="center" vertical="center"/>
    </xf>
    <xf numFmtId="11" fontId="23" fillId="0" borderId="14" xfId="0" applyNumberFormat="1" applyFont="1" applyBorder="1" applyAlignment="1">
      <alignment horizontal="center" vertical="center"/>
    </xf>
    <xf numFmtId="11" fontId="0" fillId="0" borderId="18" xfId="0" applyNumberFormat="1" applyBorder="1" applyAlignment="1">
      <alignment horizontal="center" vertical="center"/>
    </xf>
    <xf numFmtId="11" fontId="0" fillId="0" borderId="14" xfId="0" applyNumberFormat="1" applyBorder="1" applyAlignment="1">
      <alignment horizontal="left" vertical="top"/>
    </xf>
    <xf numFmtId="0" fontId="0" fillId="0" borderId="10" xfId="0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/>
    </xf>
    <xf numFmtId="0" fontId="0" fillId="51" borderId="24" xfId="0" applyFill="1" applyBorder="1" applyAlignment="1">
      <alignment horizontal="center" vertical="center"/>
    </xf>
    <xf numFmtId="0" fontId="0" fillId="47" borderId="24" xfId="0" applyFill="1" applyBorder="1" applyAlignment="1">
      <alignment horizontal="left" vertical="top"/>
    </xf>
    <xf numFmtId="11" fontId="0" fillId="47" borderId="21" xfId="0" applyNumberFormat="1" applyFill="1" applyBorder="1" applyAlignment="1">
      <alignment horizontal="center" vertical="center"/>
    </xf>
    <xf numFmtId="11" fontId="0" fillId="48" borderId="21" xfId="0" applyNumberFormat="1" applyFill="1" applyBorder="1" applyAlignment="1">
      <alignment horizontal="center" vertical="center" wrapText="1"/>
    </xf>
    <xf numFmtId="11" fontId="20" fillId="0" borderId="21" xfId="0" applyNumberFormat="1" applyFont="1" applyBorder="1" applyAlignment="1">
      <alignment horizontal="center" vertical="center" wrapText="1"/>
    </xf>
    <xf numFmtId="0" fontId="0" fillId="50" borderId="21" xfId="0" applyFill="1" applyBorder="1" applyAlignment="1">
      <alignment horizontal="center" vertical="center" wrapText="1"/>
    </xf>
    <xf numFmtId="0" fontId="0" fillId="0" borderId="21" xfId="0" applyBorder="1" applyAlignment="1">
      <alignment horizontal="left" vertical="top" wrapText="1"/>
    </xf>
    <xf numFmtId="14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1" fontId="0" fillId="0" borderId="24" xfId="0" applyNumberFormat="1" applyBorder="1" applyAlignment="1">
      <alignment horizontal="center" vertical="center"/>
    </xf>
    <xf numFmtId="11" fontId="0" fillId="48" borderId="24" xfId="0" applyNumberFormat="1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16" fillId="43" borderId="10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19" fillId="43" borderId="10" xfId="0" applyFont="1" applyFill="1" applyBorder="1" applyAlignment="1">
      <alignment horizontal="center" vertical="center" wrapText="1"/>
    </xf>
    <xf numFmtId="0" fontId="19" fillId="39" borderId="10" xfId="0" applyFont="1" applyFill="1" applyBorder="1" applyAlignment="1">
      <alignment horizontal="center" vertical="center" wrapText="1"/>
    </xf>
    <xf numFmtId="0" fontId="16" fillId="39" borderId="10" xfId="0" applyFont="1" applyFill="1" applyBorder="1" applyAlignment="1">
      <alignment horizontal="center" vertical="center" wrapText="1"/>
    </xf>
    <xf numFmtId="0" fontId="0" fillId="47" borderId="0" xfId="0" applyFill="1"/>
    <xf numFmtId="0" fontId="0" fillId="43" borderId="0" xfId="0" applyFill="1" applyAlignment="1">
      <alignment horizontal="center" vertical="center" wrapText="1"/>
    </xf>
    <xf numFmtId="0" fontId="0" fillId="48" borderId="0" xfId="0" applyFill="1"/>
    <xf numFmtId="0" fontId="0" fillId="48" borderId="0" xfId="0" applyFill="1" applyAlignment="1">
      <alignment horizontal="center" vertical="center" wrapText="1"/>
    </xf>
    <xf numFmtId="0" fontId="0" fillId="48" borderId="11" xfId="0" applyFill="1" applyBorder="1"/>
    <xf numFmtId="0" fontId="19" fillId="48" borderId="10" xfId="0" applyFont="1" applyFill="1" applyBorder="1" applyAlignment="1">
      <alignment horizontal="center" vertical="center" wrapText="1"/>
    </xf>
    <xf numFmtId="0" fontId="0" fillId="39" borderId="0" xfId="0" applyFill="1" applyAlignment="1">
      <alignment horizontal="center" vertical="center"/>
    </xf>
    <xf numFmtId="0" fontId="20" fillId="3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7" xfId="0" applyBorder="1"/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3" borderId="0" xfId="0" applyFill="1"/>
    <xf numFmtId="0" fontId="20" fillId="35" borderId="27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0" xfId="0" applyFill="1" applyAlignment="1">
      <alignment horizontal="center"/>
    </xf>
    <xf numFmtId="11" fontId="0" fillId="36" borderId="0" xfId="0" applyNumberFormat="1" applyFill="1"/>
    <xf numFmtId="0" fontId="0" fillId="36" borderId="27" xfId="0" applyFill="1" applyBorder="1"/>
    <xf numFmtId="0" fontId="16" fillId="35" borderId="0" xfId="0" applyFont="1" applyFill="1" applyAlignment="1">
      <alignment horizontal="center" vertical="center" wrapText="1"/>
    </xf>
    <xf numFmtId="0" fontId="16" fillId="35" borderId="27" xfId="0" applyFont="1" applyFill="1" applyBorder="1" applyAlignment="1">
      <alignment horizontal="center" vertical="center" wrapText="1"/>
    </xf>
    <xf numFmtId="0" fontId="28" fillId="44" borderId="0" xfId="0" applyFont="1" applyFill="1" applyAlignment="1">
      <alignment horizontal="center" vertical="center" wrapText="1"/>
    </xf>
    <xf numFmtId="0" fontId="28" fillId="35" borderId="0" xfId="0" applyFont="1" applyFill="1" applyAlignment="1">
      <alignment horizontal="center" vertical="center" wrapText="1"/>
    </xf>
    <xf numFmtId="0" fontId="0" fillId="36" borderId="27" xfId="0" applyFill="1" applyBorder="1" applyAlignment="1">
      <alignment horizontal="center" vertical="center"/>
    </xf>
    <xf numFmtId="0" fontId="24" fillId="0" borderId="0" xfId="0" applyFont="1"/>
    <xf numFmtId="0" fontId="0" fillId="36" borderId="10" xfId="0" applyFill="1" applyBorder="1"/>
    <xf numFmtId="0" fontId="0" fillId="36" borderId="10" xfId="0" applyFill="1" applyBorder="1" applyAlignment="1">
      <alignment horizontal="center" vertical="center"/>
    </xf>
    <xf numFmtId="14" fontId="0" fillId="36" borderId="10" xfId="0" applyNumberFormat="1" applyFill="1" applyBorder="1" applyAlignment="1">
      <alignment vertical="center"/>
    </xf>
    <xf numFmtId="14" fontId="0" fillId="36" borderId="10" xfId="0" applyNumberFormat="1" applyFill="1" applyBorder="1" applyAlignment="1">
      <alignment horizontal="center" vertical="center"/>
    </xf>
    <xf numFmtId="1" fontId="0" fillId="36" borderId="10" xfId="0" applyNumberFormat="1" applyFill="1" applyBorder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1" fontId="0" fillId="36" borderId="10" xfId="0" applyNumberFormat="1" applyFill="1" applyBorder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11" fontId="20" fillId="36" borderId="10" xfId="0" applyNumberFormat="1" applyFont="1" applyFill="1" applyBorder="1" applyAlignment="1">
      <alignment horizontal="center" vertical="center" wrapText="1"/>
    </xf>
    <xf numFmtId="11" fontId="21" fillId="36" borderId="16" xfId="0" applyNumberFormat="1" applyFont="1" applyFill="1" applyBorder="1" applyAlignment="1">
      <alignment horizontal="center" vertical="center" wrapText="1"/>
    </xf>
    <xf numFmtId="11" fontId="20" fillId="36" borderId="16" xfId="0" applyNumberFormat="1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left" vertical="top" wrapText="1"/>
    </xf>
    <xf numFmtId="0" fontId="0" fillId="36" borderId="16" xfId="0" applyFill="1" applyBorder="1"/>
    <xf numFmtId="0" fontId="0" fillId="36" borderId="16" xfId="0" applyFill="1" applyBorder="1" applyAlignment="1">
      <alignment horizontal="center" vertical="center"/>
    </xf>
    <xf numFmtId="14" fontId="0" fillId="36" borderId="16" xfId="0" applyNumberFormat="1" applyFill="1" applyBorder="1" applyAlignment="1">
      <alignment vertical="center"/>
    </xf>
    <xf numFmtId="14" fontId="0" fillId="36" borderId="16" xfId="0" applyNumberFormat="1" applyFill="1" applyBorder="1" applyAlignment="1">
      <alignment horizontal="center" vertical="center"/>
    </xf>
    <xf numFmtId="1" fontId="0" fillId="36" borderId="16" xfId="0" applyNumberFormat="1" applyFill="1" applyBorder="1" applyAlignment="1">
      <alignment horizontal="center" vertical="center"/>
    </xf>
    <xf numFmtId="11" fontId="0" fillId="36" borderId="16" xfId="0" applyNumberFormat="1" applyFill="1" applyBorder="1" applyAlignment="1">
      <alignment horizontal="center" vertical="center"/>
    </xf>
    <xf numFmtId="0" fontId="20" fillId="36" borderId="16" xfId="0" applyFont="1" applyFill="1" applyBorder="1" applyAlignment="1">
      <alignment horizontal="center" vertical="center"/>
    </xf>
    <xf numFmtId="0" fontId="20" fillId="36" borderId="16" xfId="0" applyFont="1" applyFill="1" applyBorder="1"/>
    <xf numFmtId="11" fontId="20" fillId="36" borderId="16" xfId="0" applyNumberFormat="1" applyFont="1" applyFill="1" applyBorder="1" applyAlignment="1">
      <alignment horizontal="center" vertical="center"/>
    </xf>
    <xf numFmtId="11" fontId="20" fillId="36" borderId="20" xfId="0" applyNumberFormat="1" applyFont="1" applyFill="1" applyBorder="1" applyAlignment="1">
      <alignment horizontal="center" vertical="center"/>
    </xf>
    <xf numFmtId="0" fontId="20" fillId="36" borderId="16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left" vertical="top" wrapText="1"/>
    </xf>
    <xf numFmtId="0" fontId="0" fillId="36" borderId="11" xfId="0" applyFill="1" applyBorder="1"/>
    <xf numFmtId="0" fontId="0" fillId="36" borderId="11" xfId="0" applyFill="1" applyBorder="1" applyAlignment="1">
      <alignment horizontal="center" vertical="center"/>
    </xf>
    <xf numFmtId="14" fontId="0" fillId="36" borderId="11" xfId="0" applyNumberFormat="1" applyFill="1" applyBorder="1" applyAlignment="1">
      <alignment horizontal="center" vertical="center"/>
    </xf>
    <xf numFmtId="1" fontId="0" fillId="36" borderId="11" xfId="0" applyNumberFormat="1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left" vertical="top"/>
    </xf>
    <xf numFmtId="0" fontId="0" fillId="36" borderId="17" xfId="0" applyFill="1" applyBorder="1" applyAlignment="1">
      <alignment horizontal="center" vertical="center" wrapText="1"/>
    </xf>
    <xf numFmtId="0" fontId="0" fillId="36" borderId="16" xfId="0" applyFill="1" applyBorder="1" applyAlignment="1">
      <alignment horizontal="left" vertical="top"/>
    </xf>
    <xf numFmtId="0" fontId="0" fillId="42" borderId="10" xfId="0" applyFill="1" applyBorder="1" applyAlignment="1">
      <alignment horizontal="center" vertical="center"/>
    </xf>
    <xf numFmtId="0" fontId="0" fillId="42" borderId="10" xfId="0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44" borderId="10" xfId="0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4" fontId="0" fillId="0" borderId="24" xfId="0" applyNumberFormat="1" applyBorder="1" applyAlignment="1">
      <alignment vertical="center"/>
    </xf>
    <xf numFmtId="14" fontId="0" fillId="47" borderId="16" xfId="0" applyNumberFormat="1" applyFill="1" applyBorder="1" applyAlignment="1">
      <alignment vertical="center"/>
    </xf>
    <xf numFmtId="14" fontId="0" fillId="0" borderId="21" xfId="0" applyNumberFormat="1" applyBorder="1" applyAlignment="1">
      <alignment vertical="center"/>
    </xf>
    <xf numFmtId="14" fontId="0" fillId="47" borderId="16" xfId="0" applyNumberForma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47" borderId="1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22" fillId="47" borderId="11" xfId="0" applyFont="1" applyFill="1" applyBorder="1" applyAlignment="1">
      <alignment horizontal="center" vertical="center"/>
    </xf>
    <xf numFmtId="0" fontId="22" fillId="47" borderId="16" xfId="0" applyFont="1" applyFill="1" applyBorder="1" applyAlignment="1">
      <alignment horizontal="center" vertical="center"/>
    </xf>
    <xf numFmtId="0" fontId="20" fillId="47" borderId="21" xfId="0" applyFont="1" applyFill="1" applyBorder="1" applyAlignment="1">
      <alignment horizontal="center" vertical="center"/>
    </xf>
    <xf numFmtId="0" fontId="20" fillId="47" borderId="24" xfId="0" applyFont="1" applyFill="1" applyBorder="1" applyAlignment="1">
      <alignment horizontal="center" vertical="center" wrapText="1"/>
    </xf>
    <xf numFmtId="0" fontId="20" fillId="47" borderId="16" xfId="0" applyFont="1" applyFill="1" applyBorder="1" applyAlignment="1">
      <alignment horizontal="center" vertical="center"/>
    </xf>
    <xf numFmtId="0" fontId="20" fillId="47" borderId="21" xfId="0" applyFont="1" applyFill="1" applyBorder="1" applyAlignment="1">
      <alignment horizontal="center" vertical="center" wrapText="1"/>
    </xf>
    <xf numFmtId="0" fontId="20" fillId="47" borderId="14" xfId="0" applyFont="1" applyFill="1" applyBorder="1"/>
    <xf numFmtId="0" fontId="20" fillId="47" borderId="16" xfId="0" applyFont="1" applyFill="1" applyBorder="1" applyAlignment="1">
      <alignment horizontal="center"/>
    </xf>
    <xf numFmtId="0" fontId="20" fillId="47" borderId="11" xfId="0" applyFont="1" applyFill="1" applyBorder="1" applyAlignment="1">
      <alignment horizontal="center"/>
    </xf>
    <xf numFmtId="11" fontId="20" fillId="0" borderId="24" xfId="0" applyNumberFormat="1" applyFont="1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 wrapText="1"/>
    </xf>
    <xf numFmtId="11" fontId="20" fillId="50" borderId="21" xfId="0" applyNumberFormat="1" applyFont="1" applyFill="1" applyBorder="1" applyAlignment="1">
      <alignment horizontal="center" vertical="center"/>
    </xf>
    <xf numFmtId="0" fontId="0" fillId="50" borderId="16" xfId="0" applyFill="1" applyBorder="1" applyAlignment="1">
      <alignment horizontal="center" vertical="center" wrapText="1"/>
    </xf>
    <xf numFmtId="0" fontId="0" fillId="47" borderId="16" xfId="0" applyFill="1" applyBorder="1" applyAlignment="1">
      <alignment horizontal="center" vertical="center" wrapText="1"/>
    </xf>
    <xf numFmtId="11" fontId="0" fillId="0" borderId="11" xfId="0" applyNumberFormat="1" applyBorder="1" applyAlignment="1">
      <alignment horizontal="center" vertical="center" wrapText="1"/>
    </xf>
    <xf numFmtId="11" fontId="20" fillId="0" borderId="16" xfId="0" applyNumberFormat="1" applyFont="1" applyBorder="1" applyAlignment="1">
      <alignment horizontal="center" vertical="center"/>
    </xf>
    <xf numFmtId="11" fontId="20" fillId="48" borderId="10" xfId="0" applyNumberFormat="1" applyFont="1" applyFill="1" applyBorder="1" applyAlignment="1">
      <alignment horizontal="center" vertical="center" wrapText="1"/>
    </xf>
    <xf numFmtId="11" fontId="20" fillId="47" borderId="21" xfId="0" applyNumberFormat="1" applyFont="1" applyFill="1" applyBorder="1" applyAlignment="1">
      <alignment horizontal="center" vertical="center"/>
    </xf>
    <xf numFmtId="11" fontId="20" fillId="48" borderId="18" xfId="0" applyNumberFormat="1" applyFont="1" applyFill="1" applyBorder="1" applyAlignment="1">
      <alignment horizontal="center" vertical="center" wrapText="1"/>
    </xf>
    <xf numFmtId="11" fontId="0" fillId="48" borderId="11" xfId="0" applyNumberFormat="1" applyFill="1" applyBorder="1" applyAlignment="1">
      <alignment horizontal="center" vertical="center" wrapText="1"/>
    </xf>
    <xf numFmtId="11" fontId="20" fillId="48" borderId="16" xfId="0" applyNumberFormat="1" applyFont="1" applyFill="1" applyBorder="1" applyAlignment="1">
      <alignment horizontal="center" vertical="center"/>
    </xf>
    <xf numFmtId="11" fontId="25" fillId="0" borderId="18" xfId="0" applyNumberFormat="1" applyFont="1" applyBorder="1" applyAlignment="1">
      <alignment horizontal="center" vertical="center"/>
    </xf>
    <xf numFmtId="0" fontId="0" fillId="48" borderId="14" xfId="0" applyFill="1" applyBorder="1" applyAlignment="1">
      <alignment horizontal="center" vertical="center" wrapText="1"/>
    </xf>
    <xf numFmtId="0" fontId="0" fillId="50" borderId="18" xfId="0" applyFill="1" applyBorder="1" applyAlignment="1">
      <alignment horizontal="center" vertical="center" wrapText="1"/>
    </xf>
    <xf numFmtId="11" fontId="21" fillId="0" borderId="24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11" fontId="20" fillId="47" borderId="26" xfId="0" applyNumberFormat="1" applyFont="1" applyFill="1" applyBorder="1" applyAlignment="1">
      <alignment horizontal="center" vertical="center"/>
    </xf>
    <xf numFmtId="11" fontId="21" fillId="0" borderId="18" xfId="0" applyNumberFormat="1" applyFont="1" applyBorder="1" applyAlignment="1">
      <alignment horizontal="center" vertical="center" wrapText="1"/>
    </xf>
    <xf numFmtId="11" fontId="24" fillId="0" borderId="14" xfId="0" applyNumberFormat="1" applyFont="1" applyBorder="1" applyAlignment="1">
      <alignment horizontal="center" vertical="center"/>
    </xf>
    <xf numFmtId="0" fontId="21" fillId="47" borderId="11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11" fontId="21" fillId="0" borderId="21" xfId="0" applyNumberFormat="1" applyFont="1" applyBorder="1" applyAlignment="1">
      <alignment horizontal="center" vertical="center" wrapText="1"/>
    </xf>
    <xf numFmtId="11" fontId="21" fillId="0" borderId="23" xfId="0" applyNumberFormat="1" applyFont="1" applyBorder="1" applyAlignment="1">
      <alignment horizontal="center" vertical="center" wrapText="1"/>
    </xf>
    <xf numFmtId="11" fontId="23" fillId="0" borderId="16" xfId="0" applyNumberFormat="1" applyFont="1" applyBorder="1" applyAlignment="1">
      <alignment horizontal="center" vertical="center"/>
    </xf>
    <xf numFmtId="0" fontId="21" fillId="47" borderId="14" xfId="0" applyFont="1" applyFill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47" borderId="0" xfId="0" applyFont="1" applyFill="1" applyAlignment="1">
      <alignment horizontal="center" vertical="center" wrapText="1"/>
    </xf>
    <xf numFmtId="0" fontId="23" fillId="0" borderId="14" xfId="0" applyFont="1" applyBorder="1" applyAlignment="1">
      <alignment horizontal="center"/>
    </xf>
    <xf numFmtId="0" fontId="21" fillId="0" borderId="21" xfId="0" applyFont="1" applyBorder="1" applyAlignment="1">
      <alignment horizontal="center" vertical="center" wrapText="1"/>
    </xf>
    <xf numFmtId="0" fontId="0" fillId="47" borderId="13" xfId="0" applyFill="1" applyBorder="1" applyAlignment="1">
      <alignment horizontal="center" vertical="center"/>
    </xf>
    <xf numFmtId="11" fontId="20" fillId="47" borderId="18" xfId="0" applyNumberFormat="1" applyFont="1" applyFill="1" applyBorder="1" applyAlignment="1">
      <alignment horizontal="center" vertical="center"/>
    </xf>
    <xf numFmtId="0" fontId="20" fillId="0" borderId="24" xfId="0" applyFont="1" applyBorder="1" applyAlignment="1">
      <alignment horizontal="left" vertical="top" wrapText="1"/>
    </xf>
    <xf numFmtId="0" fontId="26" fillId="0" borderId="10" xfId="0" applyFont="1" applyBorder="1"/>
    <xf numFmtId="0" fontId="20" fillId="47" borderId="0" xfId="0" applyFont="1" applyFill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20" fillId="0" borderId="21" xfId="0" applyFont="1" applyBorder="1" applyAlignment="1">
      <alignment horizontal="left" vertical="top" wrapText="1"/>
    </xf>
    <xf numFmtId="11" fontId="0" fillId="0" borderId="16" xfId="0" applyNumberFormat="1" applyBorder="1" applyAlignment="1">
      <alignment horizontal="left" vertical="top"/>
    </xf>
    <xf numFmtId="0" fontId="0" fillId="33" borderId="11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2" fontId="19" fillId="44" borderId="10" xfId="0" applyNumberFormat="1" applyFont="1" applyFill="1" applyBorder="1" applyAlignment="1">
      <alignment horizontal="center" vertical="center" wrapText="1"/>
    </xf>
    <xf numFmtId="2" fontId="0" fillId="50" borderId="11" xfId="0" applyNumberFormat="1" applyFill="1" applyBorder="1" applyAlignment="1">
      <alignment horizontal="center" vertical="center"/>
    </xf>
    <xf numFmtId="2" fontId="0" fillId="50" borderId="14" xfId="0" applyNumberFormat="1" applyFill="1" applyBorder="1" applyAlignment="1">
      <alignment horizontal="center" vertical="center"/>
    </xf>
    <xf numFmtId="2" fontId="0" fillId="47" borderId="14" xfId="0" applyNumberFormat="1" applyFill="1" applyBorder="1" applyAlignment="1">
      <alignment horizontal="center" vertical="center" wrapText="1"/>
    </xf>
    <xf numFmtId="2" fontId="0" fillId="47" borderId="16" xfId="0" applyNumberFormat="1" applyFill="1" applyBorder="1" applyAlignment="1">
      <alignment horizontal="center" vertical="center" wrapText="1"/>
    </xf>
    <xf numFmtId="2" fontId="0" fillId="47" borderId="18" xfId="0" applyNumberFormat="1" applyFill="1" applyBorder="1" applyAlignment="1">
      <alignment horizontal="center" vertical="center" wrapText="1"/>
    </xf>
    <xf numFmtId="2" fontId="25" fillId="0" borderId="14" xfId="0" applyNumberFormat="1" applyFont="1" applyBorder="1" applyAlignment="1">
      <alignment horizontal="center" vertical="center"/>
    </xf>
    <xf numFmtId="2" fontId="20" fillId="0" borderId="14" xfId="0" applyNumberFormat="1" applyFont="1" applyBorder="1" applyAlignment="1">
      <alignment horizontal="center" vertical="center" wrapText="1"/>
    </xf>
    <xf numFmtId="2" fontId="0" fillId="48" borderId="14" xfId="0" applyNumberFormat="1" applyFill="1" applyBorder="1" applyAlignment="1">
      <alignment horizontal="center" vertical="center"/>
    </xf>
    <xf numFmtId="2" fontId="0" fillId="48" borderId="10" xfId="0" applyNumberForma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/>
    </xf>
    <xf numFmtId="2" fontId="0" fillId="50" borderId="16" xfId="0" applyNumberFormat="1" applyFill="1" applyBorder="1" applyAlignment="1">
      <alignment horizontal="center" vertical="center" wrapText="1"/>
    </xf>
    <xf numFmtId="2" fontId="20" fillId="47" borderId="18" xfId="0" applyNumberFormat="1" applyFont="1" applyFill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 wrapText="1"/>
    </xf>
    <xf numFmtId="2" fontId="20" fillId="0" borderId="11" xfId="0" applyNumberFormat="1" applyFont="1" applyBorder="1" applyAlignment="1">
      <alignment horizontal="center" vertical="center" wrapText="1"/>
    </xf>
    <xf numFmtId="2" fontId="20" fillId="0" borderId="18" xfId="0" applyNumberFormat="1" applyFon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 wrapText="1"/>
    </xf>
    <xf numFmtId="2" fontId="20" fillId="47" borderId="11" xfId="0" applyNumberFormat="1" applyFont="1" applyFill="1" applyBorder="1" applyAlignment="1">
      <alignment horizontal="center" vertical="center" wrapText="1"/>
    </xf>
    <xf numFmtId="2" fontId="20" fillId="47" borderId="16" xfId="0" applyNumberFormat="1" applyFont="1" applyFill="1" applyBorder="1" applyAlignment="1">
      <alignment horizontal="center" vertical="center" wrapText="1"/>
    </xf>
    <xf numFmtId="2" fontId="20" fillId="50" borderId="14" xfId="0" applyNumberFormat="1" applyFont="1" applyFill="1" applyBorder="1" applyAlignment="1">
      <alignment horizontal="center" vertical="center"/>
    </xf>
    <xf numFmtId="2" fontId="20" fillId="50" borderId="21" xfId="0" applyNumberFormat="1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 wrapText="1"/>
    </xf>
    <xf numFmtId="2" fontId="20" fillId="0" borderId="2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33" borderId="14" xfId="0" applyFill="1" applyBorder="1"/>
    <xf numFmtId="14" fontId="0" fillId="33" borderId="14" xfId="0" applyNumberFormat="1" applyFill="1" applyBorder="1" applyAlignment="1">
      <alignment vertical="center"/>
    </xf>
    <xf numFmtId="14" fontId="0" fillId="33" borderId="14" xfId="0" applyNumberFormat="1" applyFill="1" applyBorder="1" applyAlignment="1">
      <alignment horizontal="center" vertical="center"/>
    </xf>
    <xf numFmtId="1" fontId="0" fillId="33" borderId="14" xfId="0" applyNumberFormat="1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11" fontId="20" fillId="33" borderId="14" xfId="0" applyNumberFormat="1" applyFont="1" applyFill="1" applyBorder="1" applyAlignment="1">
      <alignment horizontal="center" vertical="center" wrapText="1"/>
    </xf>
    <xf numFmtId="2" fontId="20" fillId="33" borderId="14" xfId="0" applyNumberFormat="1" applyFont="1" applyFill="1" applyBorder="1" applyAlignment="1">
      <alignment horizontal="center" vertical="center" wrapText="1"/>
    </xf>
    <xf numFmtId="11" fontId="0" fillId="33" borderId="14" xfId="0" applyNumberFormat="1" applyFill="1" applyBorder="1" applyAlignment="1">
      <alignment horizontal="center" vertical="center"/>
    </xf>
    <xf numFmtId="11" fontId="21" fillId="33" borderId="14" xfId="0" applyNumberFormat="1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04DD-7E08-4920-9006-DB3F7C1AEABB}">
  <sheetPr>
    <pageSetUpPr fitToPage="1"/>
  </sheetPr>
  <dimension ref="A1:AA296"/>
  <sheetViews>
    <sheetView zoomScale="85" zoomScaleNormal="85" workbookViewId="0">
      <pane ySplit="1" topLeftCell="A8" activePane="bottomLeft" state="frozen"/>
      <selection pane="bottomLeft" activeCell="N280" sqref="N280:N289"/>
    </sheetView>
  </sheetViews>
  <sheetFormatPr defaultColWidth="10.7109375" defaultRowHeight="15" x14ac:dyDescent="0.25"/>
  <cols>
    <col min="1" max="1" width="18.42578125" customWidth="1"/>
    <col min="2" max="2" width="24.28515625" customWidth="1"/>
    <col min="3" max="3" width="22.5703125" style="285" customWidth="1"/>
    <col min="4" max="4" width="9.28515625" customWidth="1"/>
    <col min="5" max="5" width="6.85546875" customWidth="1"/>
    <col min="6" max="6" width="4" customWidth="1"/>
    <col min="7" max="7" width="5.85546875" customWidth="1"/>
    <col min="8" max="8" width="3.85546875" customWidth="1"/>
    <col min="9" max="9" width="4" customWidth="1"/>
    <col min="10" max="10" width="4.28515625" customWidth="1"/>
    <col min="11" max="11" width="8.42578125" style="286" customWidth="1"/>
    <col min="12" max="12" width="18" style="288" customWidth="1"/>
    <col min="13" max="17" width="11.42578125" style="288"/>
    <col min="18" max="20" width="13.140625" style="288" customWidth="1"/>
    <col min="21" max="21" width="11.42578125" style="291"/>
    <col min="23" max="23" width="16.140625" customWidth="1"/>
  </cols>
  <sheetData>
    <row r="1" spans="1:23" ht="61.5" customHeight="1" x14ac:dyDescent="0.25">
      <c r="A1" s="283" t="s">
        <v>0</v>
      </c>
      <c r="B1" s="283" t="s">
        <v>1</v>
      </c>
      <c r="C1" s="29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98" t="s">
        <v>10</v>
      </c>
      <c r="L1" s="284" t="s">
        <v>11</v>
      </c>
      <c r="M1" s="284" t="s">
        <v>12</v>
      </c>
      <c r="N1" s="299" t="s">
        <v>13</v>
      </c>
      <c r="O1" s="299" t="s">
        <v>14</v>
      </c>
      <c r="P1" s="299" t="s">
        <v>15</v>
      </c>
      <c r="Q1" s="299" t="s">
        <v>16</v>
      </c>
      <c r="R1" s="300" t="s">
        <v>17</v>
      </c>
      <c r="S1" s="300" t="s">
        <v>18</v>
      </c>
      <c r="T1" s="284" t="s">
        <v>19</v>
      </c>
      <c r="U1" s="290" t="s">
        <v>20</v>
      </c>
      <c r="V1" s="283" t="s">
        <v>21</v>
      </c>
      <c r="W1" s="283" t="s">
        <v>22</v>
      </c>
    </row>
    <row r="2" spans="1:23" x14ac:dyDescent="0.25">
      <c r="A2" s="3" t="s">
        <v>23</v>
      </c>
      <c r="B2" s="3" t="s">
        <v>23</v>
      </c>
      <c r="C2" s="294">
        <v>0</v>
      </c>
      <c r="D2" s="3">
        <v>0</v>
      </c>
      <c r="E2" s="3">
        <v>65626064.497595601</v>
      </c>
      <c r="F2" s="3">
        <v>33571834.501858599</v>
      </c>
      <c r="G2" s="3">
        <v>33572995.6656662</v>
      </c>
      <c r="H2" s="295">
        <v>0</v>
      </c>
      <c r="I2" s="3">
        <v>0</v>
      </c>
      <c r="J2" s="295">
        <v>0</v>
      </c>
      <c r="K2" s="296">
        <v>0</v>
      </c>
      <c r="L2" s="293" t="s">
        <v>24</v>
      </c>
      <c r="M2" s="293"/>
      <c r="N2" s="293"/>
      <c r="O2" s="293"/>
      <c r="P2" s="293"/>
      <c r="Q2" s="293"/>
      <c r="R2" s="293"/>
      <c r="S2" s="293"/>
      <c r="T2" s="293"/>
      <c r="U2" s="301"/>
      <c r="V2" t="s">
        <v>25</v>
      </c>
      <c r="W2" t="s">
        <v>26</v>
      </c>
    </row>
    <row r="3" spans="1:23" x14ac:dyDescent="0.25">
      <c r="A3" t="s">
        <v>27</v>
      </c>
      <c r="B3" t="s">
        <v>27</v>
      </c>
      <c r="C3" s="285">
        <v>2</v>
      </c>
      <c r="D3">
        <v>495782.025791444</v>
      </c>
      <c r="E3">
        <v>83985297.927681297</v>
      </c>
      <c r="F3">
        <v>43268352.430529103</v>
      </c>
      <c r="G3">
        <v>43764134.456320502</v>
      </c>
      <c r="H3">
        <v>5.9032001793737302E-3</v>
      </c>
      <c r="I3">
        <v>0.59032001793737199</v>
      </c>
      <c r="J3">
        <v>1.1328500653572E-2</v>
      </c>
      <c r="K3" s="286">
        <v>1.1328500653572</v>
      </c>
      <c r="L3" s="287" t="s">
        <v>28</v>
      </c>
      <c r="M3" s="287">
        <v>300000</v>
      </c>
      <c r="N3" s="287">
        <v>8</v>
      </c>
      <c r="O3" s="287">
        <v>8.058707920660007</v>
      </c>
      <c r="P3" s="288">
        <v>8.9146780853371084</v>
      </c>
      <c r="Q3" s="288">
        <v>4.4022613824546806</v>
      </c>
      <c r="R3" s="288" t="s">
        <v>29</v>
      </c>
      <c r="S3" s="288">
        <v>2</v>
      </c>
      <c r="U3" s="291" t="s">
        <v>30</v>
      </c>
      <c r="V3" t="s">
        <v>25</v>
      </c>
      <c r="W3" t="s">
        <v>31</v>
      </c>
    </row>
    <row r="4" spans="1:23" x14ac:dyDescent="0.25">
      <c r="A4" t="s">
        <v>32</v>
      </c>
      <c r="B4" t="s">
        <v>32</v>
      </c>
      <c r="C4" s="285">
        <v>0</v>
      </c>
      <c r="D4">
        <v>0</v>
      </c>
      <c r="E4">
        <v>81940652.741658598</v>
      </c>
      <c r="F4">
        <v>43913264.031740203</v>
      </c>
      <c r="G4">
        <v>43958505.006276801</v>
      </c>
      <c r="H4" s="1">
        <v>0</v>
      </c>
      <c r="I4">
        <v>0</v>
      </c>
      <c r="J4" s="1">
        <v>0</v>
      </c>
      <c r="K4" s="286">
        <v>0</v>
      </c>
      <c r="L4" s="288" t="s">
        <v>28</v>
      </c>
      <c r="M4" s="288">
        <v>100000</v>
      </c>
      <c r="N4" s="288">
        <v>9</v>
      </c>
      <c r="O4" s="288">
        <v>6.949120660560216</v>
      </c>
      <c r="P4" s="288">
        <v>8.7397810562469189</v>
      </c>
      <c r="Q4" s="288">
        <v>2.3756636139608855</v>
      </c>
      <c r="R4" s="288" t="s">
        <v>29</v>
      </c>
      <c r="S4" s="288">
        <v>2</v>
      </c>
      <c r="U4" s="291" t="s">
        <v>30</v>
      </c>
      <c r="V4" t="s">
        <v>25</v>
      </c>
      <c r="W4" t="s">
        <v>26</v>
      </c>
    </row>
    <row r="5" spans="1:23" x14ac:dyDescent="0.25">
      <c r="A5" t="s">
        <v>33</v>
      </c>
      <c r="B5" t="s">
        <v>33</v>
      </c>
      <c r="C5" s="285">
        <v>2</v>
      </c>
      <c r="D5">
        <v>294830.03045961203</v>
      </c>
      <c r="E5">
        <v>75802927.072010294</v>
      </c>
      <c r="F5">
        <v>37426511.217066899</v>
      </c>
      <c r="G5">
        <v>37721341.247526497</v>
      </c>
      <c r="H5">
        <v>3.8894280451668099E-3</v>
      </c>
      <c r="I5">
        <v>0.38894280451668101</v>
      </c>
      <c r="J5">
        <v>7.8160007229049599E-3</v>
      </c>
      <c r="K5" s="286">
        <v>0.781600072290496</v>
      </c>
      <c r="L5" s="288" t="s">
        <v>28</v>
      </c>
      <c r="M5" s="288">
        <v>300000</v>
      </c>
      <c r="N5" s="288">
        <v>5</v>
      </c>
      <c r="O5" s="288">
        <v>7.4346864031154372</v>
      </c>
      <c r="P5" s="288">
        <v>9.3584743322063506</v>
      </c>
      <c r="Q5" s="288">
        <v>4.6020599913279625</v>
      </c>
      <c r="R5" s="288" t="s">
        <v>29</v>
      </c>
      <c r="S5" s="288">
        <v>2</v>
      </c>
      <c r="U5" s="291" t="s">
        <v>30</v>
      </c>
      <c r="V5" t="s">
        <v>25</v>
      </c>
      <c r="W5" t="s">
        <v>31</v>
      </c>
    </row>
    <row r="6" spans="1:23" x14ac:dyDescent="0.25">
      <c r="A6" s="3" t="s">
        <v>34</v>
      </c>
      <c r="B6" s="3" t="s">
        <v>34</v>
      </c>
      <c r="C6" s="294">
        <v>0</v>
      </c>
      <c r="D6" s="3">
        <v>0</v>
      </c>
      <c r="E6" s="3">
        <v>73489079.273015395</v>
      </c>
      <c r="F6" s="3">
        <v>37210406.297986597</v>
      </c>
      <c r="G6" s="3">
        <v>37211983.915342197</v>
      </c>
      <c r="H6" s="295">
        <v>0</v>
      </c>
      <c r="I6" s="3">
        <v>0</v>
      </c>
      <c r="J6" s="295">
        <v>0</v>
      </c>
      <c r="K6" s="296">
        <v>0</v>
      </c>
      <c r="L6" s="293" t="s">
        <v>35</v>
      </c>
      <c r="M6" s="293"/>
      <c r="N6" s="293"/>
      <c r="O6" s="293"/>
      <c r="P6" s="293"/>
      <c r="Q6" s="293"/>
      <c r="R6" s="293"/>
      <c r="S6" s="293"/>
      <c r="T6" s="293"/>
      <c r="U6" s="301"/>
      <c r="V6" t="s">
        <v>25</v>
      </c>
      <c r="W6" t="s">
        <v>26</v>
      </c>
    </row>
    <row r="7" spans="1:23" x14ac:dyDescent="0.25">
      <c r="A7" t="s">
        <v>36</v>
      </c>
      <c r="B7" t="s">
        <v>36</v>
      </c>
      <c r="C7" s="285">
        <v>4</v>
      </c>
      <c r="D7">
        <v>15782935.857067</v>
      </c>
      <c r="E7">
        <v>79929745.827570304</v>
      </c>
      <c r="F7">
        <v>37627429.689465001</v>
      </c>
      <c r="G7">
        <v>53410365.546531998</v>
      </c>
      <c r="H7">
        <v>0.19746010316503401</v>
      </c>
      <c r="I7">
        <v>19.746010316503401</v>
      </c>
      <c r="J7">
        <v>0.29550323603976503</v>
      </c>
      <c r="K7" s="286">
        <v>29.550323603976501</v>
      </c>
      <c r="L7" s="288" t="s">
        <v>37</v>
      </c>
      <c r="M7" s="288">
        <v>300000</v>
      </c>
      <c r="N7" s="288">
        <v>31</v>
      </c>
      <c r="O7" s="288">
        <v>4.9776394860060327</v>
      </c>
      <c r="P7" s="288">
        <v>8.1916803741874702</v>
      </c>
      <c r="Q7" s="288">
        <v>0</v>
      </c>
      <c r="R7" s="288" t="s">
        <v>29</v>
      </c>
      <c r="S7" s="288">
        <v>4</v>
      </c>
      <c r="U7" s="291" t="s">
        <v>30</v>
      </c>
      <c r="V7" t="s">
        <v>25</v>
      </c>
      <c r="W7" t="s">
        <v>31</v>
      </c>
    </row>
    <row r="8" spans="1:23" x14ac:dyDescent="0.25">
      <c r="A8" t="s">
        <v>38</v>
      </c>
      <c r="B8" t="s">
        <v>39</v>
      </c>
      <c r="C8" s="285">
        <v>2</v>
      </c>
      <c r="D8">
        <v>500281.81417328201</v>
      </c>
      <c r="E8">
        <v>28779186.0838385</v>
      </c>
      <c r="F8">
        <v>14236556.9419853</v>
      </c>
      <c r="G8">
        <v>14736838.7561586</v>
      </c>
      <c r="H8">
        <v>1.7383459445860502E-2</v>
      </c>
      <c r="I8">
        <v>1.7383459445860501</v>
      </c>
      <c r="J8">
        <v>3.3947702248164402E-2</v>
      </c>
      <c r="K8" s="286">
        <v>3.39477022481644</v>
      </c>
      <c r="L8" s="288" t="s">
        <v>40</v>
      </c>
      <c r="M8" s="288">
        <v>70000</v>
      </c>
      <c r="N8" s="288">
        <v>15</v>
      </c>
      <c r="O8" s="288">
        <v>7.0638409918606246</v>
      </c>
      <c r="P8" s="288">
        <v>10.499695620536041</v>
      </c>
      <c r="Q8" s="288">
        <v>0</v>
      </c>
      <c r="R8" s="288" t="s">
        <v>29</v>
      </c>
      <c r="S8" s="288">
        <v>4</v>
      </c>
      <c r="U8" s="291" t="s">
        <v>30</v>
      </c>
      <c r="V8" t="s">
        <v>25</v>
      </c>
      <c r="W8" t="s">
        <v>31</v>
      </c>
    </row>
    <row r="9" spans="1:23" x14ac:dyDescent="0.25">
      <c r="A9" t="s">
        <v>41</v>
      </c>
      <c r="B9" t="s">
        <v>42</v>
      </c>
      <c r="C9" s="285">
        <v>4</v>
      </c>
      <c r="D9">
        <v>1215219.2430976699</v>
      </c>
      <c r="E9">
        <v>32070498.502362199</v>
      </c>
      <c r="F9">
        <v>15949851.5765494</v>
      </c>
      <c r="G9">
        <v>17165070.819646999</v>
      </c>
      <c r="H9">
        <v>3.7892122038831598E-2</v>
      </c>
      <c r="I9">
        <v>3.7892122038831602</v>
      </c>
      <c r="J9">
        <v>7.0796051811609098E-2</v>
      </c>
      <c r="K9" s="286">
        <v>7.0796051811609102</v>
      </c>
      <c r="L9" s="288" t="s">
        <v>28</v>
      </c>
      <c r="M9" s="288">
        <v>100000</v>
      </c>
      <c r="N9" s="288">
        <v>29</v>
      </c>
      <c r="O9" s="292"/>
      <c r="P9" s="292"/>
      <c r="Q9" s="288">
        <v>1.6989700043360187</v>
      </c>
      <c r="R9" s="288" t="s">
        <v>29</v>
      </c>
      <c r="S9" s="288">
        <v>4</v>
      </c>
      <c r="T9" s="288" t="s">
        <v>43</v>
      </c>
      <c r="U9" s="291" t="s">
        <v>30</v>
      </c>
      <c r="V9" t="s">
        <v>25</v>
      </c>
      <c r="W9" t="s">
        <v>31</v>
      </c>
    </row>
    <row r="10" spans="1:23" x14ac:dyDescent="0.25">
      <c r="A10" t="s">
        <v>44</v>
      </c>
      <c r="B10" t="s">
        <v>42</v>
      </c>
      <c r="C10" s="285">
        <v>3</v>
      </c>
      <c r="D10">
        <v>426525.92814821698</v>
      </c>
      <c r="E10">
        <v>30274728.4047557</v>
      </c>
      <c r="F10">
        <v>14606336.5971807</v>
      </c>
      <c r="G10">
        <v>15032862.525328901</v>
      </c>
      <c r="H10">
        <v>1.40885137744527E-2</v>
      </c>
      <c r="I10">
        <v>1.40885137744527</v>
      </c>
      <c r="J10">
        <v>2.83729015302016E-2</v>
      </c>
      <c r="K10" s="286">
        <v>2.83729015302016</v>
      </c>
      <c r="L10" s="288" t="s">
        <v>28</v>
      </c>
      <c r="M10" s="288">
        <v>100000</v>
      </c>
      <c r="N10" s="288">
        <v>28</v>
      </c>
      <c r="O10" s="292"/>
      <c r="P10" s="292"/>
      <c r="Q10" s="288">
        <v>2.6989700043360187</v>
      </c>
      <c r="R10" s="288" t="s">
        <v>29</v>
      </c>
      <c r="S10" s="288">
        <v>4</v>
      </c>
      <c r="T10" s="288" t="s">
        <v>43</v>
      </c>
      <c r="U10" s="291" t="s">
        <v>30</v>
      </c>
      <c r="V10" t="s">
        <v>25</v>
      </c>
      <c r="W10" t="s">
        <v>31</v>
      </c>
    </row>
    <row r="11" spans="1:23" x14ac:dyDescent="0.25">
      <c r="A11" t="s">
        <v>45</v>
      </c>
      <c r="B11" t="s">
        <v>46</v>
      </c>
      <c r="C11" s="285">
        <v>0</v>
      </c>
      <c r="D11">
        <v>0</v>
      </c>
      <c r="E11">
        <v>59655272.461457297</v>
      </c>
      <c r="F11">
        <v>33109262.4927148</v>
      </c>
      <c r="G11">
        <v>33177292.935116999</v>
      </c>
      <c r="H11" s="1">
        <v>0</v>
      </c>
      <c r="I11">
        <v>0</v>
      </c>
      <c r="J11" s="1">
        <v>0</v>
      </c>
      <c r="K11" s="286">
        <v>0</v>
      </c>
      <c r="L11" s="288" t="s">
        <v>40</v>
      </c>
      <c r="M11" s="288">
        <v>140000</v>
      </c>
      <c r="N11" s="288">
        <v>10</v>
      </c>
      <c r="O11" s="288">
        <v>6.5497926144585712</v>
      </c>
      <c r="P11" s="288">
        <v>7.7216445395237914</v>
      </c>
      <c r="Q11" s="288">
        <v>0</v>
      </c>
      <c r="R11" s="288" t="s">
        <v>29</v>
      </c>
      <c r="S11" s="288">
        <v>4</v>
      </c>
      <c r="U11" s="291" t="s">
        <v>30</v>
      </c>
      <c r="V11" t="s">
        <v>25</v>
      </c>
      <c r="W11" t="s">
        <v>26</v>
      </c>
    </row>
    <row r="12" spans="1:23" x14ac:dyDescent="0.25">
      <c r="A12" t="s">
        <v>47</v>
      </c>
      <c r="B12" t="s">
        <v>46</v>
      </c>
      <c r="C12" s="285">
        <v>2</v>
      </c>
      <c r="D12">
        <v>579940.56074136298</v>
      </c>
      <c r="E12">
        <v>61834364.283123903</v>
      </c>
      <c r="F12">
        <v>35521405.665052801</v>
      </c>
      <c r="G12">
        <v>36101346.225794204</v>
      </c>
      <c r="H12">
        <v>9.3789362511428297E-3</v>
      </c>
      <c r="I12">
        <v>0.93789362511428298</v>
      </c>
      <c r="J12">
        <v>1.6064236416951001E-2</v>
      </c>
      <c r="K12" s="286">
        <v>1.6064236416951001</v>
      </c>
      <c r="L12" s="288" t="s">
        <v>40</v>
      </c>
      <c r="M12" s="288">
        <v>140000</v>
      </c>
      <c r="N12" s="288">
        <v>21</v>
      </c>
      <c r="O12" s="288">
        <v>8.1944361077025771</v>
      </c>
      <c r="P12" s="288">
        <v>10.119980752187757</v>
      </c>
      <c r="Q12" s="288">
        <v>1.3010299956639813</v>
      </c>
      <c r="R12" s="288" t="s">
        <v>29</v>
      </c>
      <c r="S12" s="288">
        <v>4</v>
      </c>
      <c r="U12" s="291" t="s">
        <v>30</v>
      </c>
      <c r="V12" t="s">
        <v>25</v>
      </c>
      <c r="W12" t="s">
        <v>31</v>
      </c>
    </row>
    <row r="13" spans="1:23" x14ac:dyDescent="0.25">
      <c r="A13" t="s">
        <v>48</v>
      </c>
      <c r="B13" t="s">
        <v>49</v>
      </c>
      <c r="C13" s="285">
        <v>2</v>
      </c>
      <c r="D13">
        <v>128077.84688685701</v>
      </c>
      <c r="E13">
        <v>49705264.412845999</v>
      </c>
      <c r="F13">
        <v>26426256.2895982</v>
      </c>
      <c r="G13">
        <v>26554334.1364851</v>
      </c>
      <c r="H13">
        <v>2.5767461133102102E-3</v>
      </c>
      <c r="I13">
        <v>0.25767461133102099</v>
      </c>
      <c r="J13">
        <v>4.8232369988476399E-3</v>
      </c>
      <c r="K13" s="286">
        <v>0.48232369988476398</v>
      </c>
      <c r="L13" s="288" t="s">
        <v>40</v>
      </c>
      <c r="M13" s="288">
        <v>140000</v>
      </c>
      <c r="N13" s="288">
        <v>8</v>
      </c>
      <c r="O13" s="288">
        <v>7.2268314038376955</v>
      </c>
      <c r="P13" s="288">
        <v>8.3473690019574569</v>
      </c>
      <c r="Q13" s="288">
        <v>0.81954393554186866</v>
      </c>
      <c r="R13" s="288" t="s">
        <v>29</v>
      </c>
      <c r="S13" s="288">
        <v>4</v>
      </c>
      <c r="U13" s="291" t="s">
        <v>30</v>
      </c>
      <c r="V13" t="s">
        <v>25</v>
      </c>
      <c r="W13" t="s">
        <v>31</v>
      </c>
    </row>
    <row r="14" spans="1:23" x14ac:dyDescent="0.25">
      <c r="A14" t="s">
        <v>50</v>
      </c>
      <c r="B14" t="s">
        <v>49</v>
      </c>
      <c r="C14" s="285">
        <v>1</v>
      </c>
      <c r="D14">
        <v>5898.88127100564</v>
      </c>
      <c r="E14">
        <v>54081859.944804497</v>
      </c>
      <c r="F14">
        <v>26121798.505002901</v>
      </c>
      <c r="G14">
        <v>26127697.386273898</v>
      </c>
      <c r="H14">
        <v>1.09073195282595E-4</v>
      </c>
      <c r="I14">
        <v>1.0907319528259501E-2</v>
      </c>
      <c r="J14">
        <v>2.2577118770920001E-4</v>
      </c>
      <c r="K14" s="286">
        <v>2.2577118770920002E-2</v>
      </c>
      <c r="L14" s="288" t="s">
        <v>40</v>
      </c>
      <c r="M14" s="288">
        <v>140000</v>
      </c>
      <c r="N14" s="288">
        <v>6</v>
      </c>
      <c r="O14" s="288">
        <v>7.4686006865421026</v>
      </c>
      <c r="P14" s="288">
        <v>8.3557519523373642</v>
      </c>
      <c r="Q14" s="288">
        <v>0</v>
      </c>
      <c r="R14" s="288" t="s">
        <v>29</v>
      </c>
      <c r="S14" s="288">
        <v>4</v>
      </c>
      <c r="U14" s="291" t="s">
        <v>30</v>
      </c>
      <c r="V14" t="s">
        <v>25</v>
      </c>
      <c r="W14" t="s">
        <v>31</v>
      </c>
    </row>
    <row r="15" spans="1:23" x14ac:dyDescent="0.25">
      <c r="A15" t="s">
        <v>51</v>
      </c>
      <c r="B15" t="s">
        <v>52</v>
      </c>
      <c r="C15" s="285">
        <v>4</v>
      </c>
      <c r="D15">
        <v>8139969.7349858899</v>
      </c>
      <c r="E15">
        <v>25427118.520778202</v>
      </c>
      <c r="F15">
        <v>5605726.0028117104</v>
      </c>
      <c r="G15">
        <v>13745695.737797599</v>
      </c>
      <c r="H15">
        <v>0.32012946053380598</v>
      </c>
      <c r="I15">
        <v>32.012946053380603</v>
      </c>
      <c r="J15">
        <v>0.59218317430108502</v>
      </c>
      <c r="K15" s="286">
        <v>59.218317430108499</v>
      </c>
      <c r="L15" s="288" t="s">
        <v>53</v>
      </c>
      <c r="M15" s="288">
        <v>10000</v>
      </c>
      <c r="N15" s="288">
        <v>30</v>
      </c>
      <c r="O15" s="288">
        <v>8.2046232699777395</v>
      </c>
      <c r="P15" s="288">
        <v>10.771250545823934</v>
      </c>
      <c r="Q15" s="288">
        <v>6.3010299956639813</v>
      </c>
      <c r="R15" s="288" t="s">
        <v>29</v>
      </c>
      <c r="S15" s="288">
        <v>2</v>
      </c>
      <c r="V15" t="s">
        <v>25</v>
      </c>
      <c r="W15" t="s">
        <v>31</v>
      </c>
    </row>
    <row r="16" spans="1:23" x14ac:dyDescent="0.25">
      <c r="A16" t="s">
        <v>54</v>
      </c>
      <c r="B16" t="s">
        <v>55</v>
      </c>
      <c r="C16" s="285">
        <v>0</v>
      </c>
      <c r="D16">
        <v>0</v>
      </c>
      <c r="E16">
        <v>55793680.9133889</v>
      </c>
      <c r="F16">
        <v>25496793.386457901</v>
      </c>
      <c r="G16">
        <v>25499466.177974802</v>
      </c>
      <c r="H16" s="1">
        <v>0</v>
      </c>
      <c r="I16">
        <v>0</v>
      </c>
      <c r="J16" s="1">
        <v>0</v>
      </c>
      <c r="K16" s="286">
        <v>0</v>
      </c>
      <c r="L16" s="288" t="s">
        <v>28</v>
      </c>
      <c r="M16" s="288">
        <v>10000</v>
      </c>
      <c r="N16" s="288">
        <v>3</v>
      </c>
      <c r="O16" s="288">
        <v>5.7307970447897283</v>
      </c>
      <c r="P16" s="288">
        <v>7.1900977019088614</v>
      </c>
      <c r="Q16" s="288">
        <v>0</v>
      </c>
      <c r="R16" s="288" t="s">
        <v>29</v>
      </c>
      <c r="S16" s="288">
        <v>4</v>
      </c>
      <c r="U16" s="291" t="s">
        <v>30</v>
      </c>
      <c r="V16" t="s">
        <v>25</v>
      </c>
      <c r="W16" t="s">
        <v>26</v>
      </c>
    </row>
    <row r="17" spans="1:23" x14ac:dyDescent="0.25">
      <c r="A17" t="s">
        <v>56</v>
      </c>
      <c r="B17" t="s">
        <v>55</v>
      </c>
      <c r="C17" s="285">
        <v>2</v>
      </c>
      <c r="D17">
        <v>211719.07389214399</v>
      </c>
      <c r="E17">
        <v>57380839.1864549</v>
      </c>
      <c r="F17">
        <v>21810135.878511298</v>
      </c>
      <c r="G17">
        <v>22021854.9524034</v>
      </c>
      <c r="H17">
        <v>3.68971728008679E-3</v>
      </c>
      <c r="I17">
        <v>0.368971728008679</v>
      </c>
      <c r="J17">
        <v>9.6140436103016608E-3</v>
      </c>
      <c r="K17" s="286">
        <v>0.96140436103016602</v>
      </c>
      <c r="L17" s="288" t="s">
        <v>28</v>
      </c>
      <c r="M17" s="288">
        <v>10000</v>
      </c>
      <c r="N17" s="288">
        <v>21</v>
      </c>
      <c r="O17" s="288">
        <v>4.8582989908223446</v>
      </c>
      <c r="P17" s="288">
        <v>7.9015724236216007</v>
      </c>
      <c r="Q17" s="288">
        <v>5.9420080530223132</v>
      </c>
      <c r="R17" s="288" t="s">
        <v>29</v>
      </c>
      <c r="S17" s="288">
        <v>2</v>
      </c>
      <c r="U17" s="291" t="s">
        <v>30</v>
      </c>
      <c r="V17" t="s">
        <v>25</v>
      </c>
      <c r="W17" t="s">
        <v>31</v>
      </c>
    </row>
    <row r="18" spans="1:23" x14ac:dyDescent="0.25">
      <c r="A18" t="s">
        <v>57</v>
      </c>
      <c r="B18" t="s">
        <v>58</v>
      </c>
      <c r="C18" s="285">
        <v>4</v>
      </c>
      <c r="D18">
        <v>6449662.3562817704</v>
      </c>
      <c r="E18">
        <v>25329546.2584958</v>
      </c>
      <c r="F18">
        <v>11266653.425969699</v>
      </c>
      <c r="G18">
        <v>17716315.7822515</v>
      </c>
      <c r="H18">
        <v>0.25462999970315198</v>
      </c>
      <c r="I18">
        <v>25.462999970315199</v>
      </c>
      <c r="J18">
        <v>0.36405212209770699</v>
      </c>
      <c r="K18" s="286">
        <v>36.405212209770703</v>
      </c>
      <c r="L18" s="288" t="s">
        <v>28</v>
      </c>
      <c r="M18" s="288">
        <v>300000</v>
      </c>
      <c r="N18" s="288">
        <v>9</v>
      </c>
      <c r="O18" s="288">
        <v>5.27</v>
      </c>
      <c r="P18" s="288" t="s">
        <v>59</v>
      </c>
      <c r="Q18" s="288">
        <v>3.7403626894942437</v>
      </c>
      <c r="R18" s="288" t="s">
        <v>60</v>
      </c>
      <c r="S18" s="288">
        <v>14</v>
      </c>
      <c r="U18" s="291" t="s">
        <v>30</v>
      </c>
      <c r="V18" t="s">
        <v>61</v>
      </c>
      <c r="W18" t="s">
        <v>31</v>
      </c>
    </row>
    <row r="19" spans="1:23" x14ac:dyDescent="0.25">
      <c r="A19" t="s">
        <v>62</v>
      </c>
      <c r="B19" t="s">
        <v>58</v>
      </c>
      <c r="C19" s="285">
        <v>0</v>
      </c>
      <c r="D19">
        <v>0</v>
      </c>
      <c r="E19">
        <v>23574109.0727241</v>
      </c>
      <c r="F19">
        <v>11950123.916314799</v>
      </c>
      <c r="G19">
        <v>11954842.175301099</v>
      </c>
      <c r="H19" s="1">
        <v>0</v>
      </c>
      <c r="I19">
        <v>0</v>
      </c>
      <c r="J19" s="1">
        <v>0</v>
      </c>
      <c r="K19" s="286">
        <v>0</v>
      </c>
      <c r="L19" s="288" t="s">
        <v>28</v>
      </c>
      <c r="M19" s="288">
        <v>300000</v>
      </c>
      <c r="N19" s="288">
        <v>11</v>
      </c>
      <c r="O19" s="288">
        <v>6.2728533302890011</v>
      </c>
      <c r="P19" s="288">
        <v>4.1314677078450153</v>
      </c>
      <c r="Q19" s="288">
        <v>0</v>
      </c>
      <c r="R19" s="288" t="s">
        <v>60</v>
      </c>
      <c r="S19" s="288">
        <v>14</v>
      </c>
      <c r="U19" s="291" t="s">
        <v>30</v>
      </c>
      <c r="V19" t="s">
        <v>61</v>
      </c>
      <c r="W19" t="s">
        <v>26</v>
      </c>
    </row>
    <row r="20" spans="1:23" x14ac:dyDescent="0.25">
      <c r="A20" t="s">
        <v>63</v>
      </c>
      <c r="B20" t="s">
        <v>58</v>
      </c>
      <c r="C20" s="285">
        <v>0</v>
      </c>
      <c r="D20">
        <v>0</v>
      </c>
      <c r="E20">
        <v>21091247.728154801</v>
      </c>
      <c r="F20">
        <v>8849503.9852732792</v>
      </c>
      <c r="G20">
        <v>8851073.3541837092</v>
      </c>
      <c r="H20" s="1">
        <v>0</v>
      </c>
      <c r="I20">
        <v>0</v>
      </c>
      <c r="J20" s="1">
        <v>0</v>
      </c>
      <c r="K20" s="286">
        <v>0</v>
      </c>
      <c r="L20" s="288" t="s">
        <v>28</v>
      </c>
      <c r="M20" s="288">
        <v>300000</v>
      </c>
      <c r="N20" s="288">
        <v>26</v>
      </c>
      <c r="O20" s="288">
        <v>5.0037589858528211</v>
      </c>
      <c r="P20" s="288">
        <v>5.3682636473952563</v>
      </c>
      <c r="Q20" s="288">
        <v>0</v>
      </c>
      <c r="R20" s="288" t="s">
        <v>60</v>
      </c>
      <c r="S20" s="288">
        <v>14</v>
      </c>
      <c r="U20" s="291" t="s">
        <v>30</v>
      </c>
      <c r="V20" t="s">
        <v>61</v>
      </c>
      <c r="W20" t="s">
        <v>26</v>
      </c>
    </row>
    <row r="21" spans="1:23" x14ac:dyDescent="0.25">
      <c r="A21" t="s">
        <v>64</v>
      </c>
      <c r="B21" t="s">
        <v>58</v>
      </c>
      <c r="C21" s="285">
        <v>0</v>
      </c>
      <c r="D21">
        <v>0</v>
      </c>
      <c r="E21">
        <v>21249287.370588802</v>
      </c>
      <c r="F21">
        <v>11083189.964342499</v>
      </c>
      <c r="G21">
        <v>11085812.206065901</v>
      </c>
      <c r="H21" s="1">
        <v>0</v>
      </c>
      <c r="I21">
        <v>0</v>
      </c>
      <c r="J21" s="1">
        <v>0</v>
      </c>
      <c r="K21" s="286">
        <v>0</v>
      </c>
      <c r="L21" s="288" t="s">
        <v>28</v>
      </c>
      <c r="M21" s="288">
        <v>300000</v>
      </c>
      <c r="N21" s="288">
        <v>14</v>
      </c>
      <c r="O21" s="288">
        <v>7.1274997264128999</v>
      </c>
      <c r="P21" s="288">
        <v>9.4945054908834017</v>
      </c>
      <c r="Q21" s="288">
        <v>2.6989700043360187</v>
      </c>
      <c r="R21" s="288" t="s">
        <v>29</v>
      </c>
      <c r="S21" s="288">
        <v>5</v>
      </c>
      <c r="U21" s="291" t="s">
        <v>30</v>
      </c>
      <c r="V21" t="s">
        <v>61</v>
      </c>
      <c r="W21" t="s">
        <v>26</v>
      </c>
    </row>
    <row r="22" spans="1:23" x14ac:dyDescent="0.25">
      <c r="A22" t="s">
        <v>65</v>
      </c>
      <c r="B22" t="s">
        <v>58</v>
      </c>
      <c r="C22" s="285">
        <v>3</v>
      </c>
      <c r="D22">
        <v>258241.12512810499</v>
      </c>
      <c r="E22">
        <v>18838182.550130699</v>
      </c>
      <c r="F22">
        <v>9469650.1212218609</v>
      </c>
      <c r="G22">
        <v>9727891.2463499606</v>
      </c>
      <c r="H22">
        <v>1.3708388505148701E-2</v>
      </c>
      <c r="I22">
        <v>1.3708388505148701</v>
      </c>
      <c r="J22">
        <v>2.6546465065077799E-2</v>
      </c>
      <c r="K22" s="286">
        <v>2.6546465065077798</v>
      </c>
      <c r="L22" s="288" t="s">
        <v>28</v>
      </c>
      <c r="M22" s="288">
        <v>300000</v>
      </c>
      <c r="N22" s="288">
        <v>13</v>
      </c>
      <c r="O22" s="288">
        <v>5.3500325747585347</v>
      </c>
      <c r="P22" s="288">
        <v>4.5931432853246967</v>
      </c>
      <c r="Q22" s="288">
        <v>0</v>
      </c>
      <c r="R22" s="288" t="s">
        <v>60</v>
      </c>
      <c r="S22" s="288">
        <v>14</v>
      </c>
      <c r="T22" s="288" t="s">
        <v>66</v>
      </c>
      <c r="U22" s="291" t="s">
        <v>30</v>
      </c>
      <c r="V22" t="s">
        <v>61</v>
      </c>
      <c r="W22" t="s">
        <v>31</v>
      </c>
    </row>
    <row r="23" spans="1:23" x14ac:dyDescent="0.25">
      <c r="A23" t="s">
        <v>67</v>
      </c>
      <c r="B23" t="s">
        <v>58</v>
      </c>
      <c r="C23" s="285">
        <v>4</v>
      </c>
      <c r="D23">
        <v>336038.01752453798</v>
      </c>
      <c r="E23">
        <v>23666372.8919915</v>
      </c>
      <c r="F23">
        <v>16656064.6409896</v>
      </c>
      <c r="G23">
        <v>16992102.658514101</v>
      </c>
      <c r="H23">
        <v>1.41989657248344E-2</v>
      </c>
      <c r="I23">
        <v>1.41989657248344</v>
      </c>
      <c r="J23">
        <v>1.9776129198240299E-2</v>
      </c>
      <c r="K23" s="286">
        <v>1.97761291982403</v>
      </c>
      <c r="L23" s="288" t="s">
        <v>28</v>
      </c>
      <c r="M23" s="288">
        <v>300000</v>
      </c>
      <c r="N23" s="288">
        <v>16</v>
      </c>
      <c r="O23" s="288">
        <v>4.6658798498379115</v>
      </c>
      <c r="P23" s="288">
        <v>4.1579488157348514</v>
      </c>
      <c r="Q23" s="288">
        <v>0</v>
      </c>
      <c r="R23" s="288" t="s">
        <v>60</v>
      </c>
      <c r="S23" s="288">
        <v>14</v>
      </c>
      <c r="T23" s="288" t="s">
        <v>66</v>
      </c>
      <c r="U23" s="291" t="s">
        <v>30</v>
      </c>
      <c r="V23" t="s">
        <v>61</v>
      </c>
      <c r="W23" t="s">
        <v>31</v>
      </c>
    </row>
    <row r="24" spans="1:23" x14ac:dyDescent="0.25">
      <c r="A24" t="s">
        <v>68</v>
      </c>
      <c r="B24" t="s">
        <v>69</v>
      </c>
      <c r="C24" s="285">
        <v>2</v>
      </c>
      <c r="D24">
        <v>21881.061255214299</v>
      </c>
      <c r="E24">
        <v>17073429.958202299</v>
      </c>
      <c r="F24">
        <v>9877143.2839995995</v>
      </c>
      <c r="G24">
        <v>9899024.3452548105</v>
      </c>
      <c r="H24">
        <v>1.28158555772223E-3</v>
      </c>
      <c r="I24">
        <v>0.12815855577222299</v>
      </c>
      <c r="J24">
        <v>2.2104260472602202E-3</v>
      </c>
      <c r="K24" s="286">
        <v>0.221042604726022</v>
      </c>
      <c r="L24" s="288" t="s">
        <v>28</v>
      </c>
      <c r="M24" s="288">
        <v>1000000</v>
      </c>
      <c r="N24" s="288">
        <v>18</v>
      </c>
      <c r="O24" s="288" t="s">
        <v>59</v>
      </c>
      <c r="P24" s="288" t="s">
        <v>59</v>
      </c>
      <c r="Q24" s="288" t="s">
        <v>59</v>
      </c>
      <c r="R24" s="288" t="s">
        <v>60</v>
      </c>
      <c r="S24" s="288">
        <v>14</v>
      </c>
      <c r="T24" s="288" t="s">
        <v>66</v>
      </c>
      <c r="U24" s="291" t="s">
        <v>30</v>
      </c>
      <c r="V24" t="s">
        <v>25</v>
      </c>
      <c r="W24" t="s">
        <v>31</v>
      </c>
    </row>
    <row r="25" spans="1:23" x14ac:dyDescent="0.25">
      <c r="A25" t="s">
        <v>70</v>
      </c>
      <c r="B25" t="s">
        <v>69</v>
      </c>
      <c r="C25" s="285">
        <v>0</v>
      </c>
      <c r="D25">
        <v>0</v>
      </c>
      <c r="E25">
        <v>18301817.601756301</v>
      </c>
      <c r="F25">
        <v>10070811.001760099</v>
      </c>
      <c r="G25">
        <v>10072846.528018299</v>
      </c>
      <c r="H25" s="1">
        <v>0</v>
      </c>
      <c r="I25">
        <v>0</v>
      </c>
      <c r="J25" s="1">
        <v>0</v>
      </c>
      <c r="K25" s="286">
        <v>0</v>
      </c>
      <c r="L25" s="288" t="s">
        <v>28</v>
      </c>
      <c r="M25" s="288">
        <v>1000000</v>
      </c>
      <c r="N25" s="288">
        <v>16</v>
      </c>
      <c r="O25" s="288" t="s">
        <v>59</v>
      </c>
      <c r="P25" s="288" t="s">
        <v>59</v>
      </c>
      <c r="Q25" s="288" t="s">
        <v>59</v>
      </c>
      <c r="R25" s="288" t="s">
        <v>60</v>
      </c>
      <c r="S25" s="288">
        <v>14</v>
      </c>
      <c r="T25" s="288" t="s">
        <v>66</v>
      </c>
      <c r="U25" s="291" t="s">
        <v>30</v>
      </c>
      <c r="V25" t="s">
        <v>25</v>
      </c>
      <c r="W25" t="s">
        <v>26</v>
      </c>
    </row>
    <row r="26" spans="1:23" x14ac:dyDescent="0.25">
      <c r="A26" t="s">
        <v>71</v>
      </c>
      <c r="B26" t="s">
        <v>72</v>
      </c>
      <c r="C26" s="285">
        <v>1</v>
      </c>
      <c r="D26">
        <v>9548.4040893145393</v>
      </c>
      <c r="E26">
        <v>22368038.754823301</v>
      </c>
      <c r="F26">
        <v>9828111.9443852492</v>
      </c>
      <c r="G26">
        <v>9837660.3484745696</v>
      </c>
      <c r="H26">
        <v>4.2687712561547498E-4</v>
      </c>
      <c r="I26">
        <v>4.2687712561547499E-2</v>
      </c>
      <c r="J26">
        <v>9.7059704757901301E-4</v>
      </c>
      <c r="K26" s="286">
        <v>9.7059704757901294E-2</v>
      </c>
      <c r="L26" s="288" t="s">
        <v>28</v>
      </c>
      <c r="M26" s="288">
        <v>100000</v>
      </c>
      <c r="N26" s="288">
        <v>4</v>
      </c>
      <c r="O26" s="288">
        <v>7.2702854190328443</v>
      </c>
      <c r="P26" s="288">
        <v>7.8489548344412281</v>
      </c>
      <c r="Q26" s="288" t="s">
        <v>59</v>
      </c>
      <c r="R26" s="288" t="s">
        <v>73</v>
      </c>
      <c r="S26" s="288">
        <v>5</v>
      </c>
      <c r="T26" s="288" t="s">
        <v>66</v>
      </c>
      <c r="U26" s="291" t="s">
        <v>30</v>
      </c>
      <c r="V26" t="s">
        <v>61</v>
      </c>
      <c r="W26" t="s">
        <v>31</v>
      </c>
    </row>
    <row r="27" spans="1:23" x14ac:dyDescent="0.25">
      <c r="A27" t="s">
        <v>74</v>
      </c>
      <c r="B27" t="s">
        <v>72</v>
      </c>
      <c r="C27" s="285">
        <v>1</v>
      </c>
      <c r="D27">
        <v>16871.349113436099</v>
      </c>
      <c r="E27">
        <v>19000645.646922</v>
      </c>
      <c r="F27">
        <v>7851782.4345468003</v>
      </c>
      <c r="G27">
        <v>7868653.7836602395</v>
      </c>
      <c r="H27">
        <v>8.8793556950361502E-4</v>
      </c>
      <c r="I27">
        <v>8.8793556950361605E-2</v>
      </c>
      <c r="J27">
        <v>2.1441214186434898E-3</v>
      </c>
      <c r="K27" s="286">
        <v>0.21441214186434901</v>
      </c>
      <c r="L27" s="288" t="s">
        <v>28</v>
      </c>
      <c r="M27" s="288">
        <v>100000</v>
      </c>
      <c r="N27" s="288">
        <v>15</v>
      </c>
      <c r="O27" s="288">
        <v>6.5239344854714361</v>
      </c>
      <c r="P27" s="288">
        <v>7.8028713655834858</v>
      </c>
      <c r="Q27" s="288" t="s">
        <v>59</v>
      </c>
      <c r="R27" s="288" t="s">
        <v>75</v>
      </c>
      <c r="S27" s="288">
        <v>5</v>
      </c>
      <c r="T27" s="288" t="s">
        <v>66</v>
      </c>
      <c r="U27" s="291" t="s">
        <v>30</v>
      </c>
      <c r="V27" t="s">
        <v>61</v>
      </c>
      <c r="W27" t="s">
        <v>31</v>
      </c>
    </row>
    <row r="28" spans="1:23" x14ac:dyDescent="0.25">
      <c r="A28" t="s">
        <v>76</v>
      </c>
      <c r="B28" t="s">
        <v>77</v>
      </c>
      <c r="C28" s="285">
        <v>1</v>
      </c>
      <c r="D28">
        <v>42489.289923992699</v>
      </c>
      <c r="E28">
        <v>32524936.3795458</v>
      </c>
      <c r="F28">
        <v>19062594.777059399</v>
      </c>
      <c r="G28">
        <v>19105084.066983402</v>
      </c>
      <c r="H28">
        <v>1.3063604315214901E-3</v>
      </c>
      <c r="I28">
        <v>0.130636043152149</v>
      </c>
      <c r="J28">
        <v>2.2239781712042198E-3</v>
      </c>
      <c r="K28" s="286">
        <v>0.222397817120422</v>
      </c>
      <c r="L28" s="288" t="s">
        <v>28</v>
      </c>
      <c r="M28" s="288">
        <v>100000</v>
      </c>
      <c r="N28" s="288">
        <v>21</v>
      </c>
      <c r="O28" s="288">
        <v>7.1021214236408072</v>
      </c>
      <c r="P28" s="288">
        <v>5.8281885217505236</v>
      </c>
      <c r="Q28" s="288" t="s">
        <v>59</v>
      </c>
      <c r="R28" s="288" t="s">
        <v>78</v>
      </c>
      <c r="S28" s="288">
        <v>5</v>
      </c>
      <c r="T28" s="288" t="s">
        <v>66</v>
      </c>
      <c r="U28" s="291" t="s">
        <v>30</v>
      </c>
      <c r="V28" t="s">
        <v>61</v>
      </c>
      <c r="W28" t="s">
        <v>31</v>
      </c>
    </row>
    <row r="29" spans="1:23" x14ac:dyDescent="0.25">
      <c r="A29" t="s">
        <v>79</v>
      </c>
      <c r="B29" t="s">
        <v>80</v>
      </c>
      <c r="C29" s="285">
        <v>1</v>
      </c>
      <c r="D29">
        <v>19723.4968886815</v>
      </c>
      <c r="E29">
        <v>37537521.842771299</v>
      </c>
      <c r="F29">
        <v>17907541.1439748</v>
      </c>
      <c r="G29">
        <v>17927264.640863501</v>
      </c>
      <c r="H29">
        <v>5.2543417680300797E-4</v>
      </c>
      <c r="I29">
        <v>5.2543417680300797E-2</v>
      </c>
      <c r="J29">
        <v>1.1001955559758699E-3</v>
      </c>
      <c r="K29" s="286">
        <v>0.110019555597587</v>
      </c>
      <c r="L29" s="288" t="s">
        <v>81</v>
      </c>
      <c r="M29" s="288">
        <v>80000</v>
      </c>
      <c r="N29" s="288">
        <v>20</v>
      </c>
      <c r="O29" s="288">
        <v>6.487049543410234</v>
      </c>
      <c r="P29" s="288">
        <v>7.503197860116015</v>
      </c>
      <c r="Q29" s="288">
        <v>0</v>
      </c>
      <c r="R29" s="288" t="s">
        <v>82</v>
      </c>
      <c r="S29" s="288">
        <v>5</v>
      </c>
      <c r="T29" s="288" t="s">
        <v>66</v>
      </c>
      <c r="U29" s="291" t="s">
        <v>30</v>
      </c>
      <c r="V29" t="s">
        <v>61</v>
      </c>
      <c r="W29" t="s">
        <v>31</v>
      </c>
    </row>
    <row r="30" spans="1:23" x14ac:dyDescent="0.25">
      <c r="A30" t="s">
        <v>83</v>
      </c>
      <c r="B30" t="s">
        <v>80</v>
      </c>
      <c r="C30" s="285">
        <v>3</v>
      </c>
      <c r="D30">
        <v>2844050.32097894</v>
      </c>
      <c r="E30">
        <v>35238141.457989</v>
      </c>
      <c r="F30">
        <v>21997538.502750099</v>
      </c>
      <c r="G30">
        <v>24841588.823729001</v>
      </c>
      <c r="H30">
        <v>8.0709430273716895E-2</v>
      </c>
      <c r="I30">
        <v>8.0709430273716904</v>
      </c>
      <c r="J30">
        <v>0.114487456545543</v>
      </c>
      <c r="K30" s="286">
        <v>11.448745654554299</v>
      </c>
      <c r="L30" s="288" t="s">
        <v>81</v>
      </c>
      <c r="M30" s="288">
        <v>80000</v>
      </c>
      <c r="N30" s="288">
        <v>24</v>
      </c>
      <c r="O30" s="288">
        <v>7.2600607910704333</v>
      </c>
      <c r="P30" s="288">
        <v>10.356675855658636</v>
      </c>
      <c r="Q30" s="288">
        <v>0</v>
      </c>
      <c r="R30" s="288" t="s">
        <v>82</v>
      </c>
      <c r="S30" s="288">
        <v>5</v>
      </c>
      <c r="T30" s="288" t="s">
        <v>66</v>
      </c>
      <c r="U30" s="291" t="s">
        <v>30</v>
      </c>
      <c r="V30" t="s">
        <v>61</v>
      </c>
      <c r="W30" t="s">
        <v>31</v>
      </c>
    </row>
    <row r="31" spans="1:23" x14ac:dyDescent="0.25">
      <c r="A31" t="s">
        <v>84</v>
      </c>
      <c r="B31" t="s">
        <v>80</v>
      </c>
      <c r="C31" s="285">
        <v>4</v>
      </c>
      <c r="D31">
        <v>3355689.13905206</v>
      </c>
      <c r="E31">
        <v>34346336.312291101</v>
      </c>
      <c r="F31">
        <v>22692537.918611798</v>
      </c>
      <c r="G31">
        <v>26048227.057663899</v>
      </c>
      <c r="H31">
        <v>9.7701516357981896E-2</v>
      </c>
      <c r="I31">
        <v>9.7701516357982001</v>
      </c>
      <c r="J31">
        <v>0.128826009218341</v>
      </c>
      <c r="K31" s="286">
        <v>12.882600921834101</v>
      </c>
      <c r="L31" s="288" t="s">
        <v>81</v>
      </c>
      <c r="M31" s="288">
        <v>80000</v>
      </c>
      <c r="N31" s="288">
        <v>21</v>
      </c>
      <c r="O31" s="288">
        <v>7.9836663684457863</v>
      </c>
      <c r="P31" s="288">
        <v>9.2933951925387142</v>
      </c>
      <c r="Q31" s="288">
        <v>4.6989700043360187</v>
      </c>
      <c r="R31" s="288" t="s">
        <v>29</v>
      </c>
      <c r="S31" s="288">
        <v>5</v>
      </c>
      <c r="T31" s="288" t="s">
        <v>66</v>
      </c>
      <c r="U31" s="291" t="s">
        <v>30</v>
      </c>
      <c r="V31" t="s">
        <v>61</v>
      </c>
      <c r="W31" t="s">
        <v>31</v>
      </c>
    </row>
    <row r="32" spans="1:23" x14ac:dyDescent="0.25">
      <c r="A32" t="s">
        <v>85</v>
      </c>
      <c r="B32" t="s">
        <v>80</v>
      </c>
      <c r="C32" s="285">
        <v>2</v>
      </c>
      <c r="D32">
        <v>24821.197239561599</v>
      </c>
      <c r="E32">
        <v>22952557.9770023</v>
      </c>
      <c r="F32">
        <v>12449613.933561999</v>
      </c>
      <c r="G32">
        <v>12474435.130801599</v>
      </c>
      <c r="H32">
        <v>1.0814131158902399E-3</v>
      </c>
      <c r="I32">
        <v>0.108141311589024</v>
      </c>
      <c r="J32">
        <v>1.98976522618436E-3</v>
      </c>
      <c r="K32" s="286">
        <v>0.19897652261843601</v>
      </c>
      <c r="L32" s="288" t="s">
        <v>81</v>
      </c>
      <c r="M32" s="288">
        <v>80000</v>
      </c>
      <c r="N32" s="288">
        <v>20</v>
      </c>
      <c r="O32" s="288">
        <v>8.2762156732977594</v>
      </c>
      <c r="P32" s="288">
        <v>9.4483199728379095</v>
      </c>
      <c r="Q32" s="288">
        <v>3.8750612633917001</v>
      </c>
      <c r="R32" s="288" t="s">
        <v>29</v>
      </c>
      <c r="S32" s="288">
        <v>5</v>
      </c>
      <c r="T32" s="288" t="s">
        <v>66</v>
      </c>
      <c r="U32" s="291" t="s">
        <v>30</v>
      </c>
      <c r="V32" t="s">
        <v>25</v>
      </c>
      <c r="W32" t="s">
        <v>31</v>
      </c>
    </row>
    <row r="33" spans="1:27" x14ac:dyDescent="0.25">
      <c r="A33" t="s">
        <v>86</v>
      </c>
      <c r="B33" t="s">
        <v>80</v>
      </c>
      <c r="C33" s="285">
        <v>4</v>
      </c>
      <c r="D33">
        <v>762698.92867858405</v>
      </c>
      <c r="E33">
        <v>30818236.6174796</v>
      </c>
      <c r="F33">
        <v>19405110.2568333</v>
      </c>
      <c r="G33">
        <v>20167809.185511898</v>
      </c>
      <c r="H33">
        <v>2.4748298812333501E-2</v>
      </c>
      <c r="I33">
        <v>2.47482988123335</v>
      </c>
      <c r="J33">
        <v>3.7817639073384701E-2</v>
      </c>
      <c r="K33" s="286">
        <v>3.7817639073384699</v>
      </c>
      <c r="L33" s="288" t="s">
        <v>81</v>
      </c>
      <c r="M33" s="288">
        <v>80000</v>
      </c>
      <c r="N33" s="288">
        <v>18</v>
      </c>
      <c r="O33" s="288">
        <v>8.0294492456877204</v>
      </c>
      <c r="P33" s="288">
        <v>10.435971706399341</v>
      </c>
      <c r="Q33" s="288">
        <v>4.8893017025063106</v>
      </c>
      <c r="R33" s="288" t="s">
        <v>29</v>
      </c>
      <c r="S33" s="288">
        <v>5</v>
      </c>
      <c r="T33" s="288" t="s">
        <v>66</v>
      </c>
      <c r="U33" s="291" t="s">
        <v>30</v>
      </c>
      <c r="V33" t="s">
        <v>25</v>
      </c>
      <c r="W33" t="s">
        <v>31</v>
      </c>
    </row>
    <row r="34" spans="1:27" x14ac:dyDescent="0.25">
      <c r="A34" t="s">
        <v>87</v>
      </c>
      <c r="B34" t="s">
        <v>80</v>
      </c>
      <c r="C34" s="285">
        <v>4</v>
      </c>
      <c r="D34">
        <v>686813.59465572296</v>
      </c>
      <c r="E34">
        <v>30268462.561733399</v>
      </c>
      <c r="F34">
        <v>16548730.167640001</v>
      </c>
      <c r="G34">
        <v>17235543.762295701</v>
      </c>
      <c r="H34">
        <v>2.2690732747160301E-2</v>
      </c>
      <c r="I34">
        <v>2.26907327471603</v>
      </c>
      <c r="J34">
        <v>3.9848675744027597E-2</v>
      </c>
      <c r="K34" s="286">
        <v>3.98486757440276</v>
      </c>
      <c r="L34" s="288" t="s">
        <v>81</v>
      </c>
      <c r="M34" s="288">
        <v>80000</v>
      </c>
      <c r="N34" s="288">
        <v>15</v>
      </c>
      <c r="O34" s="288">
        <v>6.9599074858760517</v>
      </c>
      <c r="P34" s="288">
        <v>10.324385356490428</v>
      </c>
      <c r="Q34" s="288">
        <v>5.0413926851582254</v>
      </c>
      <c r="R34" s="288" t="s">
        <v>29</v>
      </c>
      <c r="S34" s="288">
        <v>5</v>
      </c>
      <c r="T34" s="288" t="s">
        <v>66</v>
      </c>
      <c r="U34" s="291" t="s">
        <v>30</v>
      </c>
      <c r="V34" t="s">
        <v>25</v>
      </c>
      <c r="W34" t="s">
        <v>31</v>
      </c>
    </row>
    <row r="35" spans="1:27" x14ac:dyDescent="0.25">
      <c r="A35" t="s">
        <v>88</v>
      </c>
      <c r="B35" t="s">
        <v>89</v>
      </c>
      <c r="C35" s="285">
        <v>0</v>
      </c>
      <c r="D35">
        <v>0</v>
      </c>
      <c r="E35">
        <v>39308105.771316603</v>
      </c>
      <c r="F35">
        <v>23147781.963383801</v>
      </c>
      <c r="G35">
        <v>23168885.954130501</v>
      </c>
      <c r="H35" s="1">
        <v>0</v>
      </c>
      <c r="I35">
        <v>0</v>
      </c>
      <c r="J35" s="1">
        <v>0</v>
      </c>
      <c r="K35" s="286">
        <v>0</v>
      </c>
      <c r="L35" s="288" t="s">
        <v>81</v>
      </c>
      <c r="M35" s="288">
        <v>80000</v>
      </c>
      <c r="N35" s="288">
        <v>18</v>
      </c>
      <c r="O35" s="288">
        <v>4.794019237521824</v>
      </c>
      <c r="P35" s="288">
        <v>6.5896754555529675</v>
      </c>
      <c r="Q35" s="288" t="s">
        <v>59</v>
      </c>
      <c r="R35" s="288" t="s">
        <v>60</v>
      </c>
      <c r="S35" s="288">
        <v>14</v>
      </c>
      <c r="T35" s="288" t="s">
        <v>66</v>
      </c>
      <c r="U35" s="291" t="s">
        <v>30</v>
      </c>
      <c r="V35" t="s">
        <v>61</v>
      </c>
      <c r="W35" t="s">
        <v>26</v>
      </c>
    </row>
    <row r="36" spans="1:27" x14ac:dyDescent="0.25">
      <c r="A36" t="s">
        <v>90</v>
      </c>
      <c r="B36" t="s">
        <v>91</v>
      </c>
      <c r="C36" s="285">
        <v>3</v>
      </c>
      <c r="D36">
        <v>704802.89059804997</v>
      </c>
      <c r="E36">
        <v>33091925.689851198</v>
      </c>
      <c r="F36">
        <v>12529972.637234</v>
      </c>
      <c r="G36">
        <v>13234775.527832</v>
      </c>
      <c r="H36">
        <v>2.1298334137568799E-2</v>
      </c>
      <c r="I36">
        <v>2.12983341375688</v>
      </c>
      <c r="J36">
        <v>5.3253860567252002E-2</v>
      </c>
      <c r="K36" s="286">
        <v>5.3253860567251996</v>
      </c>
      <c r="L36" s="288" t="s">
        <v>28</v>
      </c>
      <c r="M36" s="288">
        <v>5000</v>
      </c>
      <c r="N36" s="288">
        <v>13</v>
      </c>
      <c r="O36" s="288">
        <v>7.3458783934817644</v>
      </c>
      <c r="P36" s="288">
        <v>10.519677636256876</v>
      </c>
      <c r="Q36" s="288">
        <v>4.5797835966168101</v>
      </c>
      <c r="R36" s="288" t="s">
        <v>29</v>
      </c>
      <c r="S36" s="288">
        <v>5</v>
      </c>
      <c r="T36" s="288" t="s">
        <v>66</v>
      </c>
      <c r="U36" s="291" t="s">
        <v>30</v>
      </c>
      <c r="V36" t="s">
        <v>61</v>
      </c>
      <c r="W36" t="s">
        <v>31</v>
      </c>
      <c r="X36" s="302"/>
      <c r="Y36" s="302"/>
      <c r="Z36" s="302"/>
      <c r="AA36" s="302"/>
    </row>
    <row r="37" spans="1:27" x14ac:dyDescent="0.25">
      <c r="A37" t="s">
        <v>92</v>
      </c>
      <c r="B37" t="s">
        <v>91</v>
      </c>
      <c r="C37" s="285">
        <v>0</v>
      </c>
      <c r="D37">
        <v>0</v>
      </c>
      <c r="E37">
        <v>16679198.743227899</v>
      </c>
      <c r="F37">
        <v>7725882.9276542403</v>
      </c>
      <c r="G37">
        <v>7726108.1807119902</v>
      </c>
      <c r="H37" s="1">
        <v>0</v>
      </c>
      <c r="I37">
        <v>0</v>
      </c>
      <c r="J37" s="1">
        <v>0</v>
      </c>
      <c r="K37" s="286">
        <v>0</v>
      </c>
      <c r="L37" s="288" t="s">
        <v>28</v>
      </c>
      <c r="M37" s="288">
        <v>5000</v>
      </c>
      <c r="N37" s="288">
        <v>7</v>
      </c>
      <c r="O37" s="288">
        <v>7.3807942705356808</v>
      </c>
      <c r="P37" s="288">
        <v>9.7634279935629369</v>
      </c>
      <c r="Q37" s="288">
        <v>3.6232492903979003</v>
      </c>
      <c r="R37" s="288" t="s">
        <v>29</v>
      </c>
      <c r="S37" s="288">
        <v>5</v>
      </c>
      <c r="T37" s="288" t="s">
        <v>66</v>
      </c>
      <c r="U37" s="291" t="s">
        <v>30</v>
      </c>
      <c r="V37" t="s">
        <v>25</v>
      </c>
      <c r="W37" t="s">
        <v>26</v>
      </c>
    </row>
    <row r="38" spans="1:27" x14ac:dyDescent="0.25">
      <c r="A38" t="s">
        <v>93</v>
      </c>
      <c r="B38" t="s">
        <v>91</v>
      </c>
      <c r="C38" s="285">
        <v>4</v>
      </c>
      <c r="D38">
        <v>2428349.3080777898</v>
      </c>
      <c r="E38">
        <v>19753025.844906598</v>
      </c>
      <c r="F38">
        <v>10483031.5647805</v>
      </c>
      <c r="G38">
        <v>12911380.872858301</v>
      </c>
      <c r="H38">
        <v>0.122935560715825</v>
      </c>
      <c r="I38">
        <v>12.293556071582501</v>
      </c>
      <c r="J38">
        <v>0.18807820263303801</v>
      </c>
      <c r="K38" s="286">
        <v>18.8078202633038</v>
      </c>
      <c r="L38" s="288" t="s">
        <v>28</v>
      </c>
      <c r="M38" s="288">
        <v>5000</v>
      </c>
      <c r="N38" s="288">
        <v>28</v>
      </c>
      <c r="O38" s="288">
        <v>6.665681345533728</v>
      </c>
      <c r="P38" s="288">
        <v>10.123851640967086</v>
      </c>
      <c r="Q38" s="288">
        <v>4.5563025007672868</v>
      </c>
      <c r="R38" s="288" t="s">
        <v>29</v>
      </c>
      <c r="S38" s="288">
        <v>5</v>
      </c>
      <c r="T38" s="288" t="s">
        <v>66</v>
      </c>
      <c r="U38" s="291" t="s">
        <v>30</v>
      </c>
      <c r="V38" t="s">
        <v>25</v>
      </c>
      <c r="W38" t="s">
        <v>31</v>
      </c>
    </row>
    <row r="39" spans="1:27" x14ac:dyDescent="0.25">
      <c r="A39" t="s">
        <v>94</v>
      </c>
      <c r="B39" t="s">
        <v>91</v>
      </c>
      <c r="C39" s="285">
        <v>3</v>
      </c>
      <c r="D39">
        <v>2054228.12948624</v>
      </c>
      <c r="E39">
        <v>21875257.103296701</v>
      </c>
      <c r="F39">
        <v>9080651.0534126293</v>
      </c>
      <c r="G39">
        <v>11134879.182898801</v>
      </c>
      <c r="H39">
        <v>9.3906467923371706E-2</v>
      </c>
      <c r="I39">
        <v>9.3906467923371704</v>
      </c>
      <c r="J39">
        <v>0.184485892998386</v>
      </c>
      <c r="K39" s="286">
        <v>18.448589299838599</v>
      </c>
      <c r="L39" s="288" t="s">
        <v>28</v>
      </c>
      <c r="M39" s="288">
        <v>5000</v>
      </c>
      <c r="N39" s="288">
        <v>11</v>
      </c>
      <c r="O39" s="288">
        <v>7.0219003392134995</v>
      </c>
      <c r="P39" s="288">
        <v>10.240549248282599</v>
      </c>
      <c r="Q39" s="288">
        <v>4.3010299956639813</v>
      </c>
      <c r="R39" s="288" t="s">
        <v>29</v>
      </c>
      <c r="S39" s="288">
        <v>5</v>
      </c>
      <c r="T39" s="288" t="s">
        <v>66</v>
      </c>
      <c r="U39" s="291" t="s">
        <v>30</v>
      </c>
      <c r="V39" t="s">
        <v>25</v>
      </c>
      <c r="W39" t="s">
        <v>31</v>
      </c>
    </row>
    <row r="40" spans="1:27" x14ac:dyDescent="0.25">
      <c r="A40" t="s">
        <v>95</v>
      </c>
      <c r="B40" t="s">
        <v>91</v>
      </c>
      <c r="C40" s="285">
        <v>2</v>
      </c>
      <c r="D40">
        <v>470106.71562673402</v>
      </c>
      <c r="E40">
        <v>18392532.4837147</v>
      </c>
      <c r="F40">
        <v>9478697.2962301895</v>
      </c>
      <c r="G40">
        <v>9948804.0118569303</v>
      </c>
      <c r="H40">
        <v>2.5559651235792499E-2</v>
      </c>
      <c r="I40">
        <v>2.55596512357925</v>
      </c>
      <c r="J40">
        <v>4.7252585845139097E-2</v>
      </c>
      <c r="K40" s="286">
        <v>4.7252585845139103</v>
      </c>
      <c r="L40" s="288" t="s">
        <v>96</v>
      </c>
      <c r="M40" s="288">
        <v>2500</v>
      </c>
      <c r="N40" s="288">
        <v>16</v>
      </c>
      <c r="O40" s="288">
        <v>6.4810088341026306</v>
      </c>
      <c r="P40" s="288">
        <v>9.2648178230095368</v>
      </c>
      <c r="Q40" s="288">
        <v>3.3617278360175931</v>
      </c>
      <c r="R40" s="288" t="s">
        <v>29</v>
      </c>
      <c r="S40" s="288">
        <v>5</v>
      </c>
      <c r="T40" s="288" t="s">
        <v>66</v>
      </c>
      <c r="V40" t="s">
        <v>61</v>
      </c>
      <c r="W40" t="s">
        <v>31</v>
      </c>
    </row>
    <row r="41" spans="1:27" x14ac:dyDescent="0.25">
      <c r="A41" t="s">
        <v>97</v>
      </c>
      <c r="B41" t="s">
        <v>91</v>
      </c>
      <c r="C41" s="285">
        <v>1</v>
      </c>
      <c r="D41">
        <v>704.73540722996495</v>
      </c>
      <c r="E41">
        <v>19257027.193323899</v>
      </c>
      <c r="F41">
        <v>10946855.798960799</v>
      </c>
      <c r="G41">
        <v>10947560.5343681</v>
      </c>
      <c r="H41" s="1">
        <v>3.6596272111735E-5</v>
      </c>
      <c r="I41">
        <v>3.6596272111735001E-3</v>
      </c>
      <c r="J41" s="1">
        <v>6.4373739246982099E-5</v>
      </c>
      <c r="K41" s="286">
        <v>6.4373739246982101E-3</v>
      </c>
      <c r="L41" s="288" t="s">
        <v>98</v>
      </c>
      <c r="M41" s="288">
        <v>5000</v>
      </c>
      <c r="N41" s="288">
        <v>6</v>
      </c>
      <c r="O41" s="288">
        <v>6.3579999862874148</v>
      </c>
      <c r="P41" s="288">
        <v>0</v>
      </c>
      <c r="Q41" s="288">
        <v>0</v>
      </c>
      <c r="R41" s="288" t="s">
        <v>29</v>
      </c>
      <c r="S41" s="288">
        <v>5</v>
      </c>
      <c r="T41" s="288" t="s">
        <v>66</v>
      </c>
      <c r="U41" s="291" t="s">
        <v>30</v>
      </c>
      <c r="V41" t="s">
        <v>61</v>
      </c>
      <c r="W41" t="s">
        <v>31</v>
      </c>
      <c r="X41" s="302"/>
      <c r="Y41" s="302"/>
      <c r="Z41" s="302"/>
      <c r="AA41" s="302"/>
    </row>
    <row r="42" spans="1:27" x14ac:dyDescent="0.25">
      <c r="A42" t="s">
        <v>99</v>
      </c>
      <c r="B42" t="s">
        <v>91</v>
      </c>
      <c r="C42" s="285">
        <v>3</v>
      </c>
      <c r="D42">
        <v>804501.80421451898</v>
      </c>
      <c r="E42">
        <v>24021658.1360851</v>
      </c>
      <c r="F42">
        <v>10942115.1435348</v>
      </c>
      <c r="G42">
        <v>11746616.9477493</v>
      </c>
      <c r="H42">
        <v>3.3490685766025499E-2</v>
      </c>
      <c r="I42">
        <v>3.3490685766025501</v>
      </c>
      <c r="J42">
        <v>6.8487957664156301E-2</v>
      </c>
      <c r="K42" s="286">
        <v>6.8487957664156296</v>
      </c>
      <c r="L42" s="288" t="s">
        <v>100</v>
      </c>
      <c r="M42" s="288">
        <v>5000</v>
      </c>
      <c r="N42" s="288">
        <v>24</v>
      </c>
      <c r="O42" s="288">
        <v>7.2477786244721996</v>
      </c>
      <c r="P42" s="288">
        <v>10.421603926869832</v>
      </c>
      <c r="Q42" s="288">
        <v>2.9777236052888476</v>
      </c>
      <c r="R42" s="288" t="s">
        <v>29</v>
      </c>
      <c r="S42" s="288">
        <v>5</v>
      </c>
      <c r="T42" s="288" t="s">
        <v>66</v>
      </c>
      <c r="U42" s="291" t="s">
        <v>30</v>
      </c>
      <c r="V42" t="s">
        <v>25</v>
      </c>
      <c r="W42" t="s">
        <v>31</v>
      </c>
    </row>
    <row r="43" spans="1:27" x14ac:dyDescent="0.25">
      <c r="A43" t="s">
        <v>101</v>
      </c>
      <c r="B43" t="s">
        <v>91</v>
      </c>
      <c r="C43" s="285">
        <v>3</v>
      </c>
      <c r="D43">
        <v>1254432.4647644099</v>
      </c>
      <c r="E43">
        <v>27124672.278406098</v>
      </c>
      <c r="F43">
        <v>11218850.747468799</v>
      </c>
      <c r="G43">
        <v>12473283.212233299</v>
      </c>
      <c r="H43">
        <v>4.62469168987183E-2</v>
      </c>
      <c r="I43">
        <v>4.6246916898718302</v>
      </c>
      <c r="J43">
        <v>0.100569548804449</v>
      </c>
      <c r="K43" s="286">
        <v>10.0569548804449</v>
      </c>
      <c r="L43" s="288" t="s">
        <v>100</v>
      </c>
      <c r="M43" s="288">
        <v>5000</v>
      </c>
      <c r="N43" s="288">
        <v>31</v>
      </c>
      <c r="O43" s="288">
        <v>6.6585550220450234</v>
      </c>
      <c r="P43" s="288">
        <v>10.523746466811565</v>
      </c>
      <c r="Q43" s="288">
        <v>4.2787536009528289</v>
      </c>
      <c r="R43" s="288" t="s">
        <v>29</v>
      </c>
      <c r="S43" s="288">
        <v>5</v>
      </c>
      <c r="T43" s="288" t="s">
        <v>66</v>
      </c>
      <c r="U43" s="291" t="s">
        <v>30</v>
      </c>
      <c r="V43" t="s">
        <v>25</v>
      </c>
      <c r="W43" t="s">
        <v>31</v>
      </c>
    </row>
    <row r="44" spans="1:27" x14ac:dyDescent="0.25">
      <c r="A44" t="s">
        <v>102</v>
      </c>
      <c r="B44" t="s">
        <v>91</v>
      </c>
      <c r="C44" s="285">
        <v>3</v>
      </c>
      <c r="D44">
        <v>1370583.0361117499</v>
      </c>
      <c r="E44">
        <v>19949480.633739699</v>
      </c>
      <c r="F44">
        <v>9183776.5590403602</v>
      </c>
      <c r="G44">
        <v>10554359.595152101</v>
      </c>
      <c r="H44">
        <v>6.8702692630190104E-2</v>
      </c>
      <c r="I44">
        <v>6.8702692630190096</v>
      </c>
      <c r="J44">
        <v>0.12985942195311301</v>
      </c>
      <c r="K44" s="286">
        <v>12.985942195311299</v>
      </c>
      <c r="L44" s="288" t="s">
        <v>100</v>
      </c>
      <c r="M44" s="288">
        <v>5000</v>
      </c>
      <c r="N44" s="288">
        <v>17</v>
      </c>
      <c r="O44" s="288">
        <v>6.7090552205246325</v>
      </c>
      <c r="P44" s="288">
        <v>10.758154621967391</v>
      </c>
      <c r="Q44" s="288">
        <v>4.3424226808222066</v>
      </c>
      <c r="R44" s="288" t="s">
        <v>29</v>
      </c>
      <c r="S44" s="288">
        <v>5</v>
      </c>
      <c r="T44" s="288" t="s">
        <v>66</v>
      </c>
      <c r="U44" s="288" t="s">
        <v>30</v>
      </c>
      <c r="V44" t="s">
        <v>25</v>
      </c>
      <c r="W44" t="s">
        <v>31</v>
      </c>
    </row>
    <row r="45" spans="1:27" x14ac:dyDescent="0.25">
      <c r="A45" t="s">
        <v>103</v>
      </c>
      <c r="B45" t="s">
        <v>91</v>
      </c>
      <c r="C45" s="285">
        <v>2</v>
      </c>
      <c r="D45">
        <v>535213.188336008</v>
      </c>
      <c r="E45">
        <v>25889567.8547469</v>
      </c>
      <c r="F45">
        <v>11174474.835161701</v>
      </c>
      <c r="G45">
        <v>11709688.023497701</v>
      </c>
      <c r="H45">
        <v>2.0672928622787901E-2</v>
      </c>
      <c r="I45">
        <v>2.0672928622787898</v>
      </c>
      <c r="J45">
        <v>4.5706870009004599E-2</v>
      </c>
      <c r="K45" s="286">
        <v>4.5706870009004597</v>
      </c>
      <c r="L45" s="288" t="s">
        <v>100</v>
      </c>
      <c r="M45" s="288">
        <v>5000</v>
      </c>
      <c r="N45" s="288">
        <v>16</v>
      </c>
      <c r="O45" s="288">
        <v>7.1019911242142895</v>
      </c>
      <c r="P45" s="288">
        <v>9.8007170782823856</v>
      </c>
      <c r="Q45" s="288">
        <v>2.9190780923760737</v>
      </c>
      <c r="R45" s="288" t="s">
        <v>29</v>
      </c>
      <c r="S45" s="288">
        <v>5</v>
      </c>
      <c r="T45" s="288" t="s">
        <v>66</v>
      </c>
      <c r="U45" s="291" t="s">
        <v>30</v>
      </c>
      <c r="V45" t="s">
        <v>25</v>
      </c>
      <c r="W45" t="s">
        <v>31</v>
      </c>
    </row>
    <row r="46" spans="1:27" x14ac:dyDescent="0.25">
      <c r="A46" t="s">
        <v>104</v>
      </c>
      <c r="B46" t="s">
        <v>91</v>
      </c>
      <c r="C46" s="285">
        <v>3</v>
      </c>
      <c r="D46">
        <v>755649.799499535</v>
      </c>
      <c r="E46">
        <v>23740769.4386773</v>
      </c>
      <c r="F46">
        <v>12126441.935734499</v>
      </c>
      <c r="G46">
        <v>12882091.735234</v>
      </c>
      <c r="H46">
        <v>3.1829204249314097E-2</v>
      </c>
      <c r="I46">
        <v>3.1829204249314098</v>
      </c>
      <c r="J46">
        <v>5.8658936376981601E-2</v>
      </c>
      <c r="K46" s="286">
        <v>5.8658936376981599</v>
      </c>
      <c r="L46" s="288" t="s">
        <v>105</v>
      </c>
      <c r="M46" s="288">
        <v>5000</v>
      </c>
      <c r="N46" s="288">
        <v>19</v>
      </c>
      <c r="O46" s="288">
        <v>6.5660098227807859</v>
      </c>
      <c r="P46" s="288">
        <v>9.8007170782823856</v>
      </c>
      <c r="Q46" s="288">
        <v>3.6127838567197355</v>
      </c>
      <c r="R46" s="288" t="s">
        <v>29</v>
      </c>
      <c r="S46" s="288">
        <v>5</v>
      </c>
      <c r="T46" s="288" t="s">
        <v>66</v>
      </c>
      <c r="U46" s="291" t="s">
        <v>30</v>
      </c>
      <c r="V46" t="s">
        <v>61</v>
      </c>
      <c r="W46" t="s">
        <v>31</v>
      </c>
    </row>
    <row r="47" spans="1:27" x14ac:dyDescent="0.25">
      <c r="A47" t="s">
        <v>106</v>
      </c>
      <c r="B47" t="s">
        <v>91</v>
      </c>
      <c r="C47" s="285">
        <v>0</v>
      </c>
      <c r="D47">
        <v>0</v>
      </c>
      <c r="E47">
        <v>25838366.279179901</v>
      </c>
      <c r="F47">
        <v>10059758.216584601</v>
      </c>
      <c r="G47">
        <v>10059781.2706568</v>
      </c>
      <c r="H47" s="1">
        <v>0</v>
      </c>
      <c r="I47">
        <v>0</v>
      </c>
      <c r="J47" s="1">
        <v>0</v>
      </c>
      <c r="K47" s="286">
        <v>0</v>
      </c>
      <c r="L47" s="288" t="s">
        <v>105</v>
      </c>
      <c r="M47" s="288">
        <v>5000</v>
      </c>
      <c r="N47" s="288">
        <v>7</v>
      </c>
      <c r="O47" s="288">
        <v>6.4163745245321371</v>
      </c>
      <c r="P47" s="288">
        <v>6.4269378640272912</v>
      </c>
      <c r="Q47" s="288">
        <v>0</v>
      </c>
      <c r="R47" s="288" t="s">
        <v>29</v>
      </c>
      <c r="S47" s="288">
        <v>5</v>
      </c>
      <c r="T47" s="288" t="s">
        <v>66</v>
      </c>
      <c r="U47" s="291" t="s">
        <v>30</v>
      </c>
      <c r="V47" t="s">
        <v>25</v>
      </c>
      <c r="W47" t="s">
        <v>26</v>
      </c>
    </row>
    <row r="48" spans="1:27" x14ac:dyDescent="0.25">
      <c r="A48" t="s">
        <v>107</v>
      </c>
      <c r="B48" t="s">
        <v>91</v>
      </c>
      <c r="C48" s="285">
        <v>3</v>
      </c>
      <c r="D48">
        <v>722275.14031851699</v>
      </c>
      <c r="E48">
        <v>19818140.742216699</v>
      </c>
      <c r="F48">
        <v>9644808.01378881</v>
      </c>
      <c r="G48">
        <v>10367083.154107301</v>
      </c>
      <c r="H48">
        <v>3.64451514253262E-2</v>
      </c>
      <c r="I48">
        <v>3.6445151425326201</v>
      </c>
      <c r="J48">
        <v>6.9670044079115798E-2</v>
      </c>
      <c r="K48" s="286">
        <v>6.9670044079115803</v>
      </c>
      <c r="L48" s="288" t="s">
        <v>105</v>
      </c>
      <c r="M48" s="288">
        <v>5000</v>
      </c>
      <c r="N48" s="288">
        <v>14</v>
      </c>
      <c r="O48" s="288">
        <v>7.1582936027014696</v>
      </c>
      <c r="P48" s="288">
        <v>9.8715729355458794</v>
      </c>
      <c r="Q48" s="288">
        <v>3.3222192947339191</v>
      </c>
      <c r="R48" s="288" t="s">
        <v>29</v>
      </c>
      <c r="S48" s="288">
        <v>5</v>
      </c>
      <c r="T48" s="288" t="s">
        <v>66</v>
      </c>
      <c r="U48" s="291" t="s">
        <v>30</v>
      </c>
      <c r="V48" t="s">
        <v>25</v>
      </c>
      <c r="W48" t="s">
        <v>31</v>
      </c>
    </row>
    <row r="49" spans="1:24" x14ac:dyDescent="0.25">
      <c r="A49" t="s">
        <v>108</v>
      </c>
      <c r="B49" t="s">
        <v>91</v>
      </c>
      <c r="C49" s="285">
        <v>0</v>
      </c>
      <c r="D49">
        <v>0</v>
      </c>
      <c r="E49">
        <v>24118928.207061399</v>
      </c>
      <c r="F49">
        <v>11024611.30425</v>
      </c>
      <c r="G49">
        <v>11024677.082383901</v>
      </c>
      <c r="H49" s="1">
        <v>0</v>
      </c>
      <c r="I49">
        <v>0</v>
      </c>
      <c r="J49" s="1">
        <v>0</v>
      </c>
      <c r="K49" s="286">
        <v>0</v>
      </c>
      <c r="L49" s="288" t="s">
        <v>105</v>
      </c>
      <c r="M49" s="288">
        <v>5000</v>
      </c>
      <c r="N49" s="288">
        <v>7</v>
      </c>
      <c r="O49" s="288">
        <v>7.0121456823778825</v>
      </c>
      <c r="P49" s="288">
        <v>7.9446913794544702</v>
      </c>
      <c r="Q49" s="288">
        <v>2.2787536009528289</v>
      </c>
      <c r="R49" s="288" t="s">
        <v>29</v>
      </c>
      <c r="S49" s="288">
        <v>5</v>
      </c>
      <c r="T49" s="288" t="s">
        <v>66</v>
      </c>
      <c r="V49" t="s">
        <v>25</v>
      </c>
      <c r="W49" t="s">
        <v>26</v>
      </c>
    </row>
    <row r="50" spans="1:24" x14ac:dyDescent="0.25">
      <c r="A50" s="3" t="s">
        <v>109</v>
      </c>
      <c r="B50" s="3" t="s">
        <v>91</v>
      </c>
      <c r="C50" s="294">
        <v>0</v>
      </c>
      <c r="D50" s="3">
        <v>0</v>
      </c>
      <c r="E50" s="3">
        <v>19119153.600199599</v>
      </c>
      <c r="F50" s="3">
        <v>9835093.9732061103</v>
      </c>
      <c r="G50" s="3">
        <v>9836415.2463347595</v>
      </c>
      <c r="H50" s="295">
        <v>0</v>
      </c>
      <c r="I50" s="3">
        <v>0</v>
      </c>
      <c r="J50" s="295">
        <v>0</v>
      </c>
      <c r="K50" s="296">
        <v>0</v>
      </c>
      <c r="L50" s="293" t="s">
        <v>110</v>
      </c>
      <c r="M50" s="293"/>
      <c r="N50" s="293"/>
      <c r="O50" s="293"/>
      <c r="P50" s="293"/>
      <c r="Q50" s="293"/>
      <c r="R50" s="293"/>
      <c r="S50" s="293"/>
      <c r="T50" s="293" t="s">
        <v>66</v>
      </c>
      <c r="U50" s="301"/>
      <c r="V50" t="s">
        <v>61</v>
      </c>
      <c r="W50" t="s">
        <v>26</v>
      </c>
    </row>
    <row r="51" spans="1:24" x14ac:dyDescent="0.25">
      <c r="A51" t="s">
        <v>111</v>
      </c>
      <c r="B51" t="s">
        <v>112</v>
      </c>
      <c r="C51" s="285">
        <v>4</v>
      </c>
      <c r="D51">
        <v>4842926.43805301</v>
      </c>
      <c r="E51">
        <v>22372981.3198044</v>
      </c>
      <c r="F51">
        <v>8123630.89725044</v>
      </c>
      <c r="G51">
        <v>12966557.3353034</v>
      </c>
      <c r="H51">
        <v>0.21646316907108301</v>
      </c>
      <c r="I51">
        <v>21.6463169071083</v>
      </c>
      <c r="J51">
        <v>0.37349361999637298</v>
      </c>
      <c r="K51" s="286">
        <v>37.349361999637303</v>
      </c>
      <c r="L51" s="288" t="s">
        <v>28</v>
      </c>
      <c r="M51" s="288">
        <v>5000</v>
      </c>
      <c r="N51" s="288">
        <v>20</v>
      </c>
      <c r="O51" s="288" t="s">
        <v>59</v>
      </c>
      <c r="P51" s="288">
        <v>12.557507201905658</v>
      </c>
      <c r="Q51" s="288">
        <v>3.4149733479708178</v>
      </c>
      <c r="R51" s="288" t="s">
        <v>29</v>
      </c>
      <c r="S51" s="288">
        <v>5</v>
      </c>
      <c r="U51" s="291" t="s">
        <v>30</v>
      </c>
      <c r="V51" t="s">
        <v>25</v>
      </c>
      <c r="W51" t="s">
        <v>31</v>
      </c>
    </row>
    <row r="52" spans="1:24" x14ac:dyDescent="0.25">
      <c r="A52" t="s">
        <v>113</v>
      </c>
      <c r="B52" t="s">
        <v>112</v>
      </c>
      <c r="C52" s="285">
        <v>4</v>
      </c>
      <c r="D52">
        <v>2685793.7761981902</v>
      </c>
      <c r="E52">
        <v>20049898.110807698</v>
      </c>
      <c r="F52">
        <v>8767526.6094649099</v>
      </c>
      <c r="G52">
        <v>11453320.3856631</v>
      </c>
      <c r="H52">
        <v>0.13395548253436901</v>
      </c>
      <c r="I52">
        <v>13.3955482534369</v>
      </c>
      <c r="J52">
        <v>0.23449913961720401</v>
      </c>
      <c r="K52" s="286">
        <v>23.449913961720402</v>
      </c>
      <c r="L52" s="288" t="s">
        <v>28</v>
      </c>
      <c r="M52" s="288">
        <v>5000</v>
      </c>
      <c r="N52" s="288">
        <v>16</v>
      </c>
      <c r="O52" s="288" t="s">
        <v>59</v>
      </c>
      <c r="P52" s="288">
        <v>12.490278811555903</v>
      </c>
      <c r="Q52" s="288">
        <v>4.5910646070264995</v>
      </c>
      <c r="R52" s="288" t="s">
        <v>29</v>
      </c>
      <c r="S52" s="288">
        <v>5</v>
      </c>
      <c r="U52" s="291" t="s">
        <v>30</v>
      </c>
      <c r="V52" t="s">
        <v>25</v>
      </c>
      <c r="W52" t="s">
        <v>31</v>
      </c>
    </row>
    <row r="53" spans="1:24" x14ac:dyDescent="0.25">
      <c r="A53" t="s">
        <v>114</v>
      </c>
      <c r="B53" t="s">
        <v>112</v>
      </c>
      <c r="C53" s="285">
        <v>0</v>
      </c>
      <c r="D53">
        <v>0</v>
      </c>
      <c r="E53">
        <v>18063783.414916899</v>
      </c>
      <c r="F53">
        <v>6936057.79382715</v>
      </c>
      <c r="G53">
        <v>6937706.9001340698</v>
      </c>
      <c r="H53" s="1">
        <v>0</v>
      </c>
      <c r="I53">
        <v>0</v>
      </c>
      <c r="J53" s="1">
        <v>0</v>
      </c>
      <c r="K53" s="286">
        <v>0</v>
      </c>
      <c r="L53" s="288" t="s">
        <v>28</v>
      </c>
      <c r="M53" s="288">
        <v>5000</v>
      </c>
      <c r="N53" s="288">
        <v>1</v>
      </c>
      <c r="O53" s="288" t="s">
        <v>59</v>
      </c>
      <c r="P53" s="288">
        <v>8.6263403673750432</v>
      </c>
      <c r="Q53" s="288">
        <v>3.7075701760979363</v>
      </c>
      <c r="R53" s="288" t="s">
        <v>29</v>
      </c>
      <c r="S53" s="288">
        <v>5</v>
      </c>
      <c r="U53" s="291" t="s">
        <v>30</v>
      </c>
      <c r="V53" t="s">
        <v>25</v>
      </c>
      <c r="W53" t="s">
        <v>26</v>
      </c>
    </row>
    <row r="54" spans="1:24" x14ac:dyDescent="0.25">
      <c r="A54" t="s">
        <v>115</v>
      </c>
      <c r="B54" t="s">
        <v>112</v>
      </c>
      <c r="C54" s="285">
        <v>4</v>
      </c>
      <c r="D54">
        <v>3030508.72182348</v>
      </c>
      <c r="E54">
        <v>19791108.419431701</v>
      </c>
      <c r="F54">
        <v>9180817.32921087</v>
      </c>
      <c r="G54">
        <v>12211326.0510343</v>
      </c>
      <c r="H54">
        <v>0.15312475974554299</v>
      </c>
      <c r="I54">
        <v>15.3124759745543</v>
      </c>
      <c r="J54">
        <v>0.248171960126049</v>
      </c>
      <c r="K54" s="286">
        <v>24.817196012604899</v>
      </c>
      <c r="L54" s="288" t="s">
        <v>28</v>
      </c>
      <c r="M54" s="288">
        <v>5000</v>
      </c>
      <c r="N54" s="288">
        <v>23</v>
      </c>
      <c r="O54" s="288" t="s">
        <v>59</v>
      </c>
      <c r="P54" s="288">
        <v>11.986771734266245</v>
      </c>
      <c r="Q54" s="288">
        <v>4.6812412373755876</v>
      </c>
      <c r="R54" s="288" t="s">
        <v>29</v>
      </c>
      <c r="S54" s="288">
        <v>5</v>
      </c>
      <c r="U54" s="291" t="s">
        <v>30</v>
      </c>
      <c r="V54" t="s">
        <v>25</v>
      </c>
      <c r="W54" t="s">
        <v>31</v>
      </c>
    </row>
    <row r="55" spans="1:24" x14ac:dyDescent="0.25">
      <c r="A55" t="s">
        <v>116</v>
      </c>
      <c r="B55" t="s">
        <v>112</v>
      </c>
      <c r="C55" s="285">
        <v>2</v>
      </c>
      <c r="D55">
        <v>240449.93084966499</v>
      </c>
      <c r="E55">
        <v>20344360.546752699</v>
      </c>
      <c r="F55">
        <v>8707542.0969173908</v>
      </c>
      <c r="G55">
        <v>8947992.0277670603</v>
      </c>
      <c r="H55">
        <v>1.18189967336203E-2</v>
      </c>
      <c r="I55">
        <v>1.1818996733620299</v>
      </c>
      <c r="J55">
        <v>2.68719429011012E-2</v>
      </c>
      <c r="K55" s="286">
        <v>2.6871942901101198</v>
      </c>
      <c r="L55" s="288" t="s">
        <v>28</v>
      </c>
      <c r="M55" s="288">
        <v>5000</v>
      </c>
      <c r="N55" s="288">
        <v>19</v>
      </c>
      <c r="O55" s="288" t="s">
        <v>59</v>
      </c>
      <c r="P55" s="288">
        <v>10.429752280002408</v>
      </c>
      <c r="Q55" s="288">
        <v>2.4149733479708178</v>
      </c>
      <c r="R55" s="288" t="s">
        <v>29</v>
      </c>
      <c r="S55" s="288">
        <v>5</v>
      </c>
      <c r="U55" s="291" t="s">
        <v>30</v>
      </c>
      <c r="V55" t="s">
        <v>25</v>
      </c>
      <c r="W55" t="s">
        <v>31</v>
      </c>
    </row>
    <row r="56" spans="1:24" x14ac:dyDescent="0.25">
      <c r="A56" t="s">
        <v>117</v>
      </c>
      <c r="B56" t="s">
        <v>112</v>
      </c>
      <c r="C56" s="285">
        <v>2</v>
      </c>
      <c r="D56">
        <v>101657.864629092</v>
      </c>
      <c r="E56">
        <v>19320449.210425299</v>
      </c>
      <c r="F56">
        <v>8567393.9944888502</v>
      </c>
      <c r="G56">
        <v>8669051.8591179401</v>
      </c>
      <c r="H56">
        <v>5.2616718960260102E-3</v>
      </c>
      <c r="I56">
        <v>0.526167189602601</v>
      </c>
      <c r="J56">
        <v>1.17265263008169E-2</v>
      </c>
      <c r="K56" s="286">
        <v>1.17265263008169</v>
      </c>
      <c r="L56" s="288" t="s">
        <v>28</v>
      </c>
      <c r="M56" s="288">
        <v>5000</v>
      </c>
      <c r="N56" s="288">
        <v>0</v>
      </c>
      <c r="O56" s="288" t="s">
        <v>59</v>
      </c>
      <c r="P56" s="288">
        <v>10.561101383649056</v>
      </c>
      <c r="Q56" s="288">
        <v>2.3010299956639813</v>
      </c>
      <c r="R56" s="288" t="s">
        <v>29</v>
      </c>
      <c r="S56" s="288">
        <v>5</v>
      </c>
      <c r="U56" s="291" t="s">
        <v>30</v>
      </c>
      <c r="V56" t="s">
        <v>25</v>
      </c>
      <c r="W56" t="s">
        <v>31</v>
      </c>
    </row>
    <row r="57" spans="1:24" x14ac:dyDescent="0.25">
      <c r="A57" t="s">
        <v>118</v>
      </c>
      <c r="B57" t="s">
        <v>112</v>
      </c>
      <c r="C57" s="285">
        <v>2</v>
      </c>
      <c r="D57">
        <v>116829.574715907</v>
      </c>
      <c r="E57">
        <v>24602562.417078599</v>
      </c>
      <c r="F57">
        <v>9616672.0058407504</v>
      </c>
      <c r="G57">
        <v>9733501.5805566609</v>
      </c>
      <c r="H57">
        <v>4.7486750662527003E-3</v>
      </c>
      <c r="I57">
        <v>0.47486750662527</v>
      </c>
      <c r="J57">
        <v>1.2002831021189901E-2</v>
      </c>
      <c r="K57" s="286">
        <v>1.2002831021189899</v>
      </c>
      <c r="L57" s="288" t="s">
        <v>28</v>
      </c>
      <c r="M57" s="288">
        <v>5000</v>
      </c>
      <c r="N57" s="288">
        <v>13</v>
      </c>
      <c r="O57" s="288" t="s">
        <v>59</v>
      </c>
      <c r="P57" s="288">
        <v>9.6560982020128314</v>
      </c>
      <c r="Q57" s="288">
        <v>2.8129133566428557</v>
      </c>
      <c r="R57" s="288" t="s">
        <v>29</v>
      </c>
      <c r="S57" s="288">
        <v>5</v>
      </c>
      <c r="U57" s="288"/>
      <c r="V57" t="s">
        <v>25</v>
      </c>
      <c r="W57" t="s">
        <v>31</v>
      </c>
    </row>
    <row r="58" spans="1:24" x14ac:dyDescent="0.25">
      <c r="A58" t="s">
        <v>119</v>
      </c>
      <c r="B58" t="s">
        <v>112</v>
      </c>
      <c r="C58" s="285">
        <v>2</v>
      </c>
      <c r="D58">
        <v>122073.429719899</v>
      </c>
      <c r="E58">
        <v>23839025.961482499</v>
      </c>
      <c r="F58">
        <v>11813588.294395</v>
      </c>
      <c r="G58">
        <v>11935661.7241149</v>
      </c>
      <c r="H58">
        <v>5.1207389898034203E-3</v>
      </c>
      <c r="I58">
        <v>0.51207389898034195</v>
      </c>
      <c r="J58">
        <v>1.02276214374659E-2</v>
      </c>
      <c r="K58" s="286">
        <v>1.0227621437465899</v>
      </c>
      <c r="L58" s="288" t="s">
        <v>28</v>
      </c>
      <c r="M58" s="288">
        <v>5000</v>
      </c>
      <c r="N58" s="288">
        <v>8</v>
      </c>
      <c r="O58" s="288" t="s">
        <v>59</v>
      </c>
      <c r="P58" s="288">
        <v>7.3091459572926789</v>
      </c>
      <c r="Q58" s="288">
        <v>2.6989700043360187</v>
      </c>
      <c r="R58" s="288" t="s">
        <v>60</v>
      </c>
      <c r="S58" s="288">
        <v>5</v>
      </c>
      <c r="U58" s="288"/>
      <c r="V58" t="s">
        <v>25</v>
      </c>
      <c r="W58" t="s">
        <v>31</v>
      </c>
      <c r="X58" s="302"/>
    </row>
    <row r="59" spans="1:24" x14ac:dyDescent="0.25">
      <c r="A59" t="s">
        <v>120</v>
      </c>
      <c r="B59" t="s">
        <v>112</v>
      </c>
      <c r="C59" s="285">
        <v>4</v>
      </c>
      <c r="D59">
        <v>6274459.3148180898</v>
      </c>
      <c r="E59">
        <v>23399835.658180699</v>
      </c>
      <c r="F59">
        <v>11850451.261458499</v>
      </c>
      <c r="G59">
        <v>18124910.5762766</v>
      </c>
      <c r="H59">
        <v>0.26814117015494898</v>
      </c>
      <c r="I59">
        <v>26.814117015494901</v>
      </c>
      <c r="J59">
        <v>0.346178773595198</v>
      </c>
      <c r="K59" s="286">
        <v>34.617877359519802</v>
      </c>
      <c r="L59" s="288" t="s">
        <v>28</v>
      </c>
      <c r="M59" s="288">
        <v>5000</v>
      </c>
      <c r="N59" s="288">
        <v>36</v>
      </c>
      <c r="O59" s="288" t="s">
        <v>59</v>
      </c>
      <c r="P59" s="288">
        <v>12.547774705387823</v>
      </c>
      <c r="Q59" s="288">
        <v>2.6334684555795866</v>
      </c>
      <c r="R59" s="288" t="s">
        <v>29</v>
      </c>
      <c r="S59" s="288">
        <v>5</v>
      </c>
      <c r="U59" s="288" t="s">
        <v>30</v>
      </c>
      <c r="V59" t="s">
        <v>25</v>
      </c>
      <c r="W59" t="s">
        <v>31</v>
      </c>
    </row>
    <row r="60" spans="1:24" x14ac:dyDescent="0.25">
      <c r="A60" t="s">
        <v>121</v>
      </c>
      <c r="B60" t="s">
        <v>112</v>
      </c>
      <c r="C60" s="285">
        <v>4</v>
      </c>
      <c r="D60">
        <v>2666739.4185683602</v>
      </c>
      <c r="E60">
        <v>24865823.694564302</v>
      </c>
      <c r="F60">
        <v>12934435.490223899</v>
      </c>
      <c r="G60">
        <v>15601174.9087923</v>
      </c>
      <c r="H60">
        <v>0.107245167154921</v>
      </c>
      <c r="I60">
        <v>10.724516715492101</v>
      </c>
      <c r="J60">
        <v>0.170931960840043</v>
      </c>
      <c r="K60" s="286">
        <v>17.093196084004301</v>
      </c>
      <c r="L60" s="288" t="s">
        <v>28</v>
      </c>
      <c r="M60" s="288">
        <v>5000</v>
      </c>
      <c r="N60" s="288">
        <v>29</v>
      </c>
      <c r="O60" s="288" t="s">
        <v>59</v>
      </c>
      <c r="P60" s="288">
        <v>12.013847995871831</v>
      </c>
      <c r="Q60" s="288">
        <v>2.7481880270062002</v>
      </c>
      <c r="R60" s="288" t="s">
        <v>29</v>
      </c>
      <c r="S60" s="288">
        <v>5</v>
      </c>
      <c r="U60" s="288" t="s">
        <v>30</v>
      </c>
      <c r="V60" t="s">
        <v>25</v>
      </c>
      <c r="W60" t="s">
        <v>31</v>
      </c>
    </row>
    <row r="61" spans="1:24" x14ac:dyDescent="0.25">
      <c r="A61" t="s">
        <v>122</v>
      </c>
      <c r="B61" t="s">
        <v>112</v>
      </c>
      <c r="C61" s="285">
        <v>3</v>
      </c>
      <c r="D61">
        <v>1163261.04415679</v>
      </c>
      <c r="E61">
        <v>26536826.844574101</v>
      </c>
      <c r="F61">
        <v>14047285.586643299</v>
      </c>
      <c r="G61">
        <v>15210546.6308001</v>
      </c>
      <c r="H61">
        <v>4.3835725008494898E-2</v>
      </c>
      <c r="I61">
        <v>4.3835725008494899</v>
      </c>
      <c r="J61">
        <v>7.64772675428564E-2</v>
      </c>
      <c r="K61" s="286">
        <v>7.6477267542856397</v>
      </c>
      <c r="L61" s="288" t="s">
        <v>28</v>
      </c>
      <c r="M61" s="288">
        <v>5000</v>
      </c>
      <c r="N61" s="288">
        <v>23</v>
      </c>
      <c r="O61" s="288" t="s">
        <v>59</v>
      </c>
      <c r="P61" s="288">
        <v>11.045322978786658</v>
      </c>
      <c r="Q61" s="288">
        <v>2.7708520116421442</v>
      </c>
      <c r="R61" s="288" t="s">
        <v>29</v>
      </c>
      <c r="S61" s="288">
        <v>5</v>
      </c>
      <c r="U61" s="288" t="s">
        <v>30</v>
      </c>
      <c r="V61" t="s">
        <v>25</v>
      </c>
      <c r="W61" t="s">
        <v>31</v>
      </c>
    </row>
    <row r="62" spans="1:24" x14ac:dyDescent="0.25">
      <c r="A62" t="s">
        <v>123</v>
      </c>
      <c r="B62" t="s">
        <v>112</v>
      </c>
      <c r="C62" s="285">
        <v>3</v>
      </c>
      <c r="D62">
        <v>3246858.8739276198</v>
      </c>
      <c r="E62">
        <v>24663592.162205201</v>
      </c>
      <c r="F62">
        <v>18695340.934388202</v>
      </c>
      <c r="G62">
        <v>21942199.808315799</v>
      </c>
      <c r="H62">
        <v>0.13164582241605199</v>
      </c>
      <c r="I62">
        <v>13.164582241605199</v>
      </c>
      <c r="J62">
        <v>0.14797326167347599</v>
      </c>
      <c r="K62" s="286">
        <v>14.797326167347601</v>
      </c>
      <c r="L62" s="288" t="s">
        <v>28</v>
      </c>
      <c r="M62" s="288">
        <v>5000</v>
      </c>
      <c r="N62" s="288">
        <v>33</v>
      </c>
      <c r="O62" s="288" t="s">
        <v>59</v>
      </c>
      <c r="P62" s="288">
        <v>11.746205140721575</v>
      </c>
      <c r="Q62" s="288">
        <v>4.2787536009528289</v>
      </c>
      <c r="R62" s="288" t="s">
        <v>29</v>
      </c>
      <c r="S62" s="288">
        <v>5</v>
      </c>
      <c r="U62" s="288" t="s">
        <v>30</v>
      </c>
      <c r="V62" t="s">
        <v>61</v>
      </c>
      <c r="W62" t="s">
        <v>31</v>
      </c>
    </row>
    <row r="63" spans="1:24" x14ac:dyDescent="0.25">
      <c r="A63" t="s">
        <v>124</v>
      </c>
      <c r="B63" t="s">
        <v>112</v>
      </c>
      <c r="C63" s="285">
        <v>3</v>
      </c>
      <c r="D63">
        <v>967036.21331199096</v>
      </c>
      <c r="E63">
        <v>17331300.983422499</v>
      </c>
      <c r="F63">
        <v>9209912.9028042406</v>
      </c>
      <c r="G63">
        <v>10176949.1161162</v>
      </c>
      <c r="H63">
        <v>5.5797093030521203E-2</v>
      </c>
      <c r="I63">
        <v>5.5797093030521197</v>
      </c>
      <c r="J63">
        <v>9.5022211694130498E-2</v>
      </c>
      <c r="K63" s="286">
        <v>9.5022211694130494</v>
      </c>
      <c r="L63" s="288" t="s">
        <v>28</v>
      </c>
      <c r="M63" s="288">
        <v>5000</v>
      </c>
      <c r="N63" s="288">
        <v>11</v>
      </c>
      <c r="O63" s="288" t="s">
        <v>59</v>
      </c>
      <c r="P63" s="288">
        <v>12.082785370316451</v>
      </c>
      <c r="Q63" s="288">
        <v>3.0413926851582249</v>
      </c>
      <c r="R63" s="288" t="s">
        <v>29</v>
      </c>
      <c r="S63" s="288">
        <v>5</v>
      </c>
      <c r="U63" s="288" t="s">
        <v>30</v>
      </c>
      <c r="V63" t="s">
        <v>25</v>
      </c>
      <c r="W63" t="s">
        <v>31</v>
      </c>
    </row>
    <row r="64" spans="1:24" x14ac:dyDescent="0.25">
      <c r="A64" t="s">
        <v>125</v>
      </c>
      <c r="B64" t="s">
        <v>112</v>
      </c>
      <c r="C64" s="285">
        <v>3</v>
      </c>
      <c r="D64">
        <v>2063557.5384190099</v>
      </c>
      <c r="E64">
        <v>17560383.3654336</v>
      </c>
      <c r="F64">
        <v>13525212.5822955</v>
      </c>
      <c r="G64">
        <v>15588770.120714501</v>
      </c>
      <c r="H64">
        <v>0.117512100702822</v>
      </c>
      <c r="I64">
        <v>11.7512100702822</v>
      </c>
      <c r="J64">
        <v>0.13237462111760401</v>
      </c>
      <c r="K64" s="286">
        <v>13.237462111760401</v>
      </c>
      <c r="L64" s="288" t="s">
        <v>28</v>
      </c>
      <c r="M64" s="288">
        <v>5000</v>
      </c>
      <c r="N64" s="288">
        <v>27</v>
      </c>
      <c r="O64" s="288" t="s">
        <v>59</v>
      </c>
      <c r="P64" s="288">
        <v>12.340444114840118</v>
      </c>
      <c r="Q64" s="288">
        <v>3.0413926851582249</v>
      </c>
      <c r="R64" s="288" t="s">
        <v>29</v>
      </c>
      <c r="S64" s="288">
        <v>5</v>
      </c>
      <c r="U64" s="288" t="s">
        <v>30</v>
      </c>
      <c r="V64" t="s">
        <v>61</v>
      </c>
      <c r="W64" t="s">
        <v>31</v>
      </c>
    </row>
    <row r="65" spans="1:23" x14ac:dyDescent="0.25">
      <c r="A65" t="s">
        <v>126</v>
      </c>
      <c r="B65" t="s">
        <v>112</v>
      </c>
      <c r="C65" s="285">
        <v>3</v>
      </c>
      <c r="D65">
        <v>986642.51693156699</v>
      </c>
      <c r="E65">
        <v>21290496.285099801</v>
      </c>
      <c r="F65">
        <v>9683663.7082050405</v>
      </c>
      <c r="G65">
        <v>10670306.2251366</v>
      </c>
      <c r="H65">
        <v>4.6341921941108997E-2</v>
      </c>
      <c r="I65">
        <v>4.6341921941109003</v>
      </c>
      <c r="J65">
        <v>9.2466185703956802E-2</v>
      </c>
      <c r="K65" s="286">
        <v>9.2466185703956807</v>
      </c>
      <c r="L65" s="288" t="s">
        <v>28</v>
      </c>
      <c r="M65" s="288">
        <v>5000</v>
      </c>
      <c r="N65" s="288">
        <v>22</v>
      </c>
      <c r="O65" s="288" t="s">
        <v>59</v>
      </c>
      <c r="P65" s="288">
        <v>9.6711728427150838</v>
      </c>
      <c r="Q65" s="288">
        <v>3.3979400086720375</v>
      </c>
      <c r="R65" s="288" t="s">
        <v>29</v>
      </c>
      <c r="S65" s="288">
        <v>5</v>
      </c>
      <c r="U65" s="288" t="s">
        <v>30</v>
      </c>
      <c r="V65" t="s">
        <v>25</v>
      </c>
      <c r="W65" t="s">
        <v>31</v>
      </c>
    </row>
    <row r="66" spans="1:23" x14ac:dyDescent="0.25">
      <c r="A66" t="s">
        <v>127</v>
      </c>
      <c r="B66" t="s">
        <v>112</v>
      </c>
      <c r="C66" s="285">
        <v>0</v>
      </c>
      <c r="D66">
        <v>0</v>
      </c>
      <c r="E66">
        <v>18144897.808761701</v>
      </c>
      <c r="F66">
        <v>8045152.65904985</v>
      </c>
      <c r="G66">
        <v>8060458.4482351104</v>
      </c>
      <c r="H66" s="1">
        <v>0</v>
      </c>
      <c r="I66">
        <v>0</v>
      </c>
      <c r="J66" s="1">
        <v>0</v>
      </c>
      <c r="K66" s="286">
        <v>0</v>
      </c>
      <c r="L66" s="288" t="s">
        <v>28</v>
      </c>
      <c r="M66" s="288">
        <v>5000</v>
      </c>
      <c r="N66" s="288">
        <v>0</v>
      </c>
      <c r="O66" s="288" t="s">
        <v>59</v>
      </c>
      <c r="P66" s="288">
        <v>9.6702458530741247</v>
      </c>
      <c r="Q66" s="288">
        <v>3.3222192947339191</v>
      </c>
      <c r="R66" s="288" t="s">
        <v>29</v>
      </c>
      <c r="S66" s="288">
        <v>5</v>
      </c>
      <c r="U66" s="288" t="s">
        <v>30</v>
      </c>
      <c r="V66" t="s">
        <v>25</v>
      </c>
      <c r="W66" t="s">
        <v>26</v>
      </c>
    </row>
    <row r="67" spans="1:23" x14ac:dyDescent="0.25">
      <c r="A67" s="3" t="s">
        <v>128</v>
      </c>
      <c r="B67" s="3" t="s">
        <v>112</v>
      </c>
      <c r="C67" s="294">
        <v>0</v>
      </c>
      <c r="D67" s="3">
        <v>0</v>
      </c>
      <c r="E67" s="3">
        <v>22919013.429504901</v>
      </c>
      <c r="F67" s="3">
        <v>10805342.9617755</v>
      </c>
      <c r="G67" s="3">
        <v>10805564.407776</v>
      </c>
      <c r="H67" s="295">
        <v>0</v>
      </c>
      <c r="I67" s="3">
        <v>0</v>
      </c>
      <c r="J67" s="295">
        <v>0</v>
      </c>
      <c r="K67" s="296">
        <v>0</v>
      </c>
      <c r="L67" s="293" t="s">
        <v>110</v>
      </c>
      <c r="M67" s="293"/>
      <c r="N67" s="293"/>
      <c r="O67" s="293"/>
      <c r="P67" s="293"/>
      <c r="Q67" s="293"/>
      <c r="R67" s="293"/>
      <c r="S67" s="293"/>
      <c r="T67" s="293"/>
      <c r="U67" s="293"/>
      <c r="V67" t="s">
        <v>25</v>
      </c>
      <c r="W67" t="s">
        <v>26</v>
      </c>
    </row>
    <row r="68" spans="1:23" x14ac:dyDescent="0.25">
      <c r="A68" s="3" t="s">
        <v>129</v>
      </c>
      <c r="B68" s="3" t="s">
        <v>112</v>
      </c>
      <c r="C68" s="294">
        <v>0</v>
      </c>
      <c r="D68" s="3">
        <v>0</v>
      </c>
      <c r="E68" s="3">
        <v>26329248.2987574</v>
      </c>
      <c r="F68" s="3">
        <v>12019038.304083699</v>
      </c>
      <c r="G68" s="3">
        <v>12050920.391548401</v>
      </c>
      <c r="H68" s="295">
        <v>0</v>
      </c>
      <c r="I68" s="3">
        <v>0</v>
      </c>
      <c r="J68" s="295">
        <v>0</v>
      </c>
      <c r="K68" s="296">
        <v>0</v>
      </c>
      <c r="L68" s="293" t="s">
        <v>110</v>
      </c>
      <c r="M68" s="293"/>
      <c r="N68" s="293"/>
      <c r="O68" s="293"/>
      <c r="P68" s="293"/>
      <c r="Q68" s="293"/>
      <c r="R68" s="293"/>
      <c r="S68" s="293"/>
      <c r="T68" s="293"/>
      <c r="U68" s="293"/>
      <c r="V68" t="s">
        <v>61</v>
      </c>
      <c r="W68" t="s">
        <v>26</v>
      </c>
    </row>
    <row r="69" spans="1:23" x14ac:dyDescent="0.25">
      <c r="A69" s="3" t="s">
        <v>130</v>
      </c>
      <c r="B69" s="3" t="s">
        <v>112</v>
      </c>
      <c r="C69" s="294">
        <v>0</v>
      </c>
      <c r="D69" s="3">
        <v>0</v>
      </c>
      <c r="E69" s="3">
        <v>31348365.2386402</v>
      </c>
      <c r="F69" s="3">
        <v>13424874.9277639</v>
      </c>
      <c r="G69" s="3">
        <v>13426567.604289601</v>
      </c>
      <c r="H69" s="295">
        <v>0</v>
      </c>
      <c r="I69" s="3">
        <v>0</v>
      </c>
      <c r="J69" s="295">
        <v>0</v>
      </c>
      <c r="K69" s="296">
        <v>0</v>
      </c>
      <c r="L69" s="293" t="s">
        <v>131</v>
      </c>
      <c r="M69" s="293" t="s">
        <v>131</v>
      </c>
      <c r="N69" s="293" t="s">
        <v>131</v>
      </c>
      <c r="O69" s="293" t="s">
        <v>131</v>
      </c>
      <c r="P69" s="293" t="s">
        <v>131</v>
      </c>
      <c r="Q69" s="293" t="s">
        <v>131</v>
      </c>
      <c r="R69" s="293" t="s">
        <v>131</v>
      </c>
      <c r="S69" s="293" t="s">
        <v>131</v>
      </c>
      <c r="T69" s="293"/>
      <c r="U69" s="301"/>
      <c r="V69" t="s">
        <v>25</v>
      </c>
      <c r="W69" t="s">
        <v>26</v>
      </c>
    </row>
    <row r="70" spans="1:23" x14ac:dyDescent="0.25">
      <c r="A70" t="s">
        <v>132</v>
      </c>
      <c r="B70" t="s">
        <v>133</v>
      </c>
      <c r="C70" s="285">
        <v>1</v>
      </c>
      <c r="D70">
        <v>33453.784692589303</v>
      </c>
      <c r="E70">
        <v>36633555.1890788</v>
      </c>
      <c r="F70">
        <v>17211119.646692201</v>
      </c>
      <c r="G70">
        <v>17244573.431384798</v>
      </c>
      <c r="H70">
        <v>9.1320060310615201E-4</v>
      </c>
      <c r="I70">
        <v>9.1320060310615195E-2</v>
      </c>
      <c r="J70">
        <v>1.93996011705942E-3</v>
      </c>
      <c r="K70" s="286">
        <v>0.193996011705942</v>
      </c>
      <c r="L70" s="288" t="s">
        <v>28</v>
      </c>
      <c r="M70" s="288">
        <v>5000</v>
      </c>
      <c r="N70" s="288">
        <v>1</v>
      </c>
      <c r="O70" s="288">
        <v>7.0093145518255904</v>
      </c>
      <c r="P70" s="288">
        <v>9.180921734518769</v>
      </c>
      <c r="Q70" s="288">
        <v>2.0606978403536118</v>
      </c>
      <c r="R70" s="288" t="s">
        <v>29</v>
      </c>
      <c r="S70" s="288">
        <v>5</v>
      </c>
      <c r="U70" s="291" t="s">
        <v>30</v>
      </c>
      <c r="V70" t="s">
        <v>61</v>
      </c>
      <c r="W70" t="s">
        <v>31</v>
      </c>
    </row>
    <row r="71" spans="1:23" x14ac:dyDescent="0.25">
      <c r="A71" t="s">
        <v>134</v>
      </c>
      <c r="B71" t="s">
        <v>133</v>
      </c>
      <c r="C71" s="285">
        <v>4</v>
      </c>
      <c r="D71">
        <v>7637975.94253405</v>
      </c>
      <c r="E71">
        <v>18747863.807530999</v>
      </c>
      <c r="F71">
        <v>6417338.7040470401</v>
      </c>
      <c r="G71">
        <v>14055314.6465811</v>
      </c>
      <c r="H71">
        <v>0.40740513270988499</v>
      </c>
      <c r="I71">
        <v>40.740513270988501</v>
      </c>
      <c r="J71">
        <v>0.54342262230265703</v>
      </c>
      <c r="K71" s="286">
        <v>54.342262230265703</v>
      </c>
      <c r="L71" s="288" t="s">
        <v>28</v>
      </c>
      <c r="M71" s="288">
        <v>5000</v>
      </c>
      <c r="N71" s="288">
        <v>9</v>
      </c>
      <c r="O71" s="288">
        <v>7.4667816422879092</v>
      </c>
      <c r="P71" s="288">
        <v>9.6752732219355817</v>
      </c>
      <c r="Q71" s="288">
        <v>3.3424226808222062</v>
      </c>
      <c r="R71" s="288" t="s">
        <v>29</v>
      </c>
      <c r="S71" s="288">
        <v>5</v>
      </c>
      <c r="U71" s="291" t="s">
        <v>30</v>
      </c>
      <c r="V71" t="s">
        <v>61</v>
      </c>
      <c r="W71" t="s">
        <v>31</v>
      </c>
    </row>
    <row r="72" spans="1:23" x14ac:dyDescent="0.25">
      <c r="A72" t="s">
        <v>135</v>
      </c>
      <c r="B72" t="s">
        <v>133</v>
      </c>
      <c r="C72" s="285">
        <v>4</v>
      </c>
      <c r="D72">
        <v>14319973.132786701</v>
      </c>
      <c r="E72">
        <v>32810406.935338002</v>
      </c>
      <c r="F72">
        <v>8311368.3488939498</v>
      </c>
      <c r="G72">
        <v>22631341.481680699</v>
      </c>
      <c r="H72">
        <v>0.436446069108749</v>
      </c>
      <c r="I72">
        <v>43.644606910874899</v>
      </c>
      <c r="J72">
        <v>0.63274963812367302</v>
      </c>
      <c r="K72" s="286">
        <v>63.274963812367297</v>
      </c>
      <c r="L72" s="288" t="s">
        <v>136</v>
      </c>
      <c r="M72" s="288">
        <v>5000</v>
      </c>
      <c r="N72" s="288">
        <v>25</v>
      </c>
      <c r="O72" s="288">
        <v>8.2349626877416373</v>
      </c>
      <c r="P72" s="288">
        <v>10.278753600952829</v>
      </c>
      <c r="Q72" s="288">
        <v>4.3891660843645326</v>
      </c>
      <c r="R72" s="288" t="s">
        <v>29</v>
      </c>
      <c r="S72" s="288">
        <v>5</v>
      </c>
      <c r="U72" s="291" t="s">
        <v>30</v>
      </c>
      <c r="V72" t="s">
        <v>61</v>
      </c>
      <c r="W72" t="s">
        <v>31</v>
      </c>
    </row>
    <row r="73" spans="1:23" x14ac:dyDescent="0.25">
      <c r="A73" t="s">
        <v>137</v>
      </c>
      <c r="B73" t="s">
        <v>133</v>
      </c>
      <c r="C73" s="285">
        <v>0</v>
      </c>
      <c r="D73">
        <v>0</v>
      </c>
      <c r="E73">
        <v>36423474.136657797</v>
      </c>
      <c r="F73">
        <v>16792238.8890034</v>
      </c>
      <c r="G73">
        <v>16855646.252043702</v>
      </c>
      <c r="H73" s="1">
        <v>0</v>
      </c>
      <c r="I73">
        <v>0</v>
      </c>
      <c r="J73" s="1">
        <v>0</v>
      </c>
      <c r="K73" s="286">
        <v>0</v>
      </c>
      <c r="L73" s="288" t="s">
        <v>136</v>
      </c>
      <c r="M73" s="288">
        <v>5000</v>
      </c>
      <c r="N73" s="288">
        <v>4</v>
      </c>
      <c r="O73" s="288">
        <v>7.8596644178815946</v>
      </c>
      <c r="P73" s="288">
        <v>9.7084209001347119</v>
      </c>
      <c r="Q73" s="288">
        <v>3.3891660843645326</v>
      </c>
      <c r="R73" s="288" t="s">
        <v>29</v>
      </c>
      <c r="S73" s="288">
        <v>5</v>
      </c>
      <c r="U73" s="291" t="s">
        <v>30</v>
      </c>
      <c r="V73" t="s">
        <v>61</v>
      </c>
      <c r="W73" t="s">
        <v>26</v>
      </c>
    </row>
    <row r="74" spans="1:23" x14ac:dyDescent="0.25">
      <c r="A74" t="s">
        <v>138</v>
      </c>
      <c r="B74" t="s">
        <v>133</v>
      </c>
      <c r="C74" s="285">
        <v>3</v>
      </c>
      <c r="D74">
        <v>7991301.94122699</v>
      </c>
      <c r="E74">
        <v>29300279.4989512</v>
      </c>
      <c r="F74">
        <v>10761414.9312682</v>
      </c>
      <c r="G74">
        <v>18752716.8724952</v>
      </c>
      <c r="H74">
        <v>0.27273807888122797</v>
      </c>
      <c r="I74">
        <v>27.2738078881228</v>
      </c>
      <c r="J74">
        <v>0.426141022421551</v>
      </c>
      <c r="K74" s="286">
        <v>42.614102242155099</v>
      </c>
      <c r="L74" s="288" t="s">
        <v>139</v>
      </c>
      <c r="M74" s="288">
        <v>5000</v>
      </c>
      <c r="N74" s="288">
        <v>16</v>
      </c>
      <c r="O74" s="288">
        <v>6.9635171586730271</v>
      </c>
      <c r="P74" s="288">
        <v>10.258538015698633</v>
      </c>
      <c r="Q74" s="288">
        <v>3.4983105537896004</v>
      </c>
      <c r="R74" s="288" t="s">
        <v>29</v>
      </c>
      <c r="S74" s="288">
        <v>5</v>
      </c>
      <c r="U74" s="291" t="s">
        <v>30</v>
      </c>
      <c r="V74" t="s">
        <v>61</v>
      </c>
      <c r="W74" t="s">
        <v>31</v>
      </c>
    </row>
    <row r="75" spans="1:23" x14ac:dyDescent="0.25">
      <c r="A75" t="s">
        <v>140</v>
      </c>
      <c r="B75" t="s">
        <v>133</v>
      </c>
      <c r="C75" s="285">
        <v>3</v>
      </c>
      <c r="D75">
        <v>11712408.5031287</v>
      </c>
      <c r="E75">
        <v>41133696.538701698</v>
      </c>
      <c r="F75">
        <v>14331809.3887068</v>
      </c>
      <c r="G75">
        <v>26044217.8918356</v>
      </c>
      <c r="H75">
        <v>0.28473999393924598</v>
      </c>
      <c r="I75">
        <v>28.473999393924601</v>
      </c>
      <c r="J75">
        <v>0.44971242952165302</v>
      </c>
      <c r="K75" s="286">
        <v>44.971242952165298</v>
      </c>
      <c r="L75" s="288" t="s">
        <v>141</v>
      </c>
      <c r="M75" s="288">
        <v>5000</v>
      </c>
      <c r="N75" s="288">
        <v>16</v>
      </c>
      <c r="O75" s="288">
        <v>9.1981342446307259</v>
      </c>
      <c r="P75" s="288">
        <v>9.470049762110202</v>
      </c>
      <c r="Q75" s="288">
        <v>3.3521825181113627</v>
      </c>
      <c r="R75" s="288" t="s">
        <v>29</v>
      </c>
      <c r="S75" s="288">
        <v>5</v>
      </c>
      <c r="U75" s="291" t="s">
        <v>30</v>
      </c>
      <c r="V75" t="s">
        <v>61</v>
      </c>
      <c r="W75" t="s">
        <v>31</v>
      </c>
    </row>
    <row r="76" spans="1:23" x14ac:dyDescent="0.25">
      <c r="A76" t="s">
        <v>142</v>
      </c>
      <c r="B76" t="s">
        <v>133</v>
      </c>
      <c r="C76" s="285">
        <v>0</v>
      </c>
      <c r="D76">
        <v>0</v>
      </c>
      <c r="E76">
        <v>25068823.181348201</v>
      </c>
      <c r="F76">
        <v>11695572.077609699</v>
      </c>
      <c r="G76">
        <v>11737472.746289499</v>
      </c>
      <c r="H76" s="1">
        <v>0</v>
      </c>
      <c r="I76">
        <v>0</v>
      </c>
      <c r="J76" s="1">
        <v>0</v>
      </c>
      <c r="K76" s="286">
        <v>0</v>
      </c>
      <c r="L76" s="288" t="s">
        <v>141</v>
      </c>
      <c r="M76" s="288">
        <v>5000</v>
      </c>
      <c r="N76" s="288">
        <v>2</v>
      </c>
      <c r="O76" s="288">
        <v>5.7531519206658022</v>
      </c>
      <c r="P76" s="288">
        <v>6.0591575586505479</v>
      </c>
      <c r="Q76" s="288">
        <v>0</v>
      </c>
      <c r="R76" s="288" t="s">
        <v>29</v>
      </c>
      <c r="S76" s="288">
        <v>5</v>
      </c>
      <c r="U76" s="291" t="s">
        <v>30</v>
      </c>
      <c r="V76" t="s">
        <v>61</v>
      </c>
      <c r="W76" t="s">
        <v>26</v>
      </c>
    </row>
    <row r="77" spans="1:23" x14ac:dyDescent="0.25">
      <c r="A77" t="s">
        <v>143</v>
      </c>
      <c r="B77" t="s">
        <v>133</v>
      </c>
      <c r="C77" s="285">
        <v>3</v>
      </c>
      <c r="D77">
        <v>7635725.0026212502</v>
      </c>
      <c r="E77">
        <v>31137151.059065402</v>
      </c>
      <c r="F77">
        <v>11063804.2829218</v>
      </c>
      <c r="G77">
        <v>18699529.285543099</v>
      </c>
      <c r="H77">
        <v>0.24522876187794801</v>
      </c>
      <c r="I77">
        <v>24.5228761877948</v>
      </c>
      <c r="J77">
        <v>0.40833781888427101</v>
      </c>
      <c r="K77" s="286">
        <v>40.833781888427097</v>
      </c>
      <c r="L77" s="288" t="s">
        <v>144</v>
      </c>
      <c r="M77" s="288">
        <v>5000</v>
      </c>
      <c r="N77" s="288">
        <v>26</v>
      </c>
      <c r="O77" s="288">
        <v>7.6905414283745825</v>
      </c>
      <c r="P77" s="288">
        <v>8.6170211112298833</v>
      </c>
      <c r="Q77" s="288">
        <v>2.2174839442139063</v>
      </c>
      <c r="R77" s="288" t="s">
        <v>29</v>
      </c>
      <c r="S77" s="288">
        <v>5</v>
      </c>
      <c r="U77" s="291" t="s">
        <v>30</v>
      </c>
      <c r="V77" t="s">
        <v>61</v>
      </c>
      <c r="W77" t="s">
        <v>31</v>
      </c>
    </row>
    <row r="78" spans="1:23" x14ac:dyDescent="0.25">
      <c r="A78" t="s">
        <v>145</v>
      </c>
      <c r="B78" t="s">
        <v>133</v>
      </c>
      <c r="C78" s="285">
        <v>2</v>
      </c>
      <c r="D78">
        <v>1677061.2461848001</v>
      </c>
      <c r="E78">
        <v>28762612.255329601</v>
      </c>
      <c r="F78">
        <v>15114713.5816768</v>
      </c>
      <c r="G78">
        <v>16791774.8278616</v>
      </c>
      <c r="H78">
        <v>5.83069865594023E-2</v>
      </c>
      <c r="I78">
        <v>5.8306986559402301</v>
      </c>
      <c r="J78">
        <v>9.98739718330523E-2</v>
      </c>
      <c r="K78" s="286">
        <v>9.9873971833052302</v>
      </c>
      <c r="L78" s="288" t="s">
        <v>144</v>
      </c>
      <c r="M78" s="288">
        <v>5000</v>
      </c>
      <c r="N78" s="288">
        <v>24</v>
      </c>
      <c r="O78" s="288">
        <v>7.2727148907396089</v>
      </c>
      <c r="P78" s="288">
        <v>8.589974385547805</v>
      </c>
      <c r="Q78" s="288">
        <v>2.1303337684950061</v>
      </c>
      <c r="R78" s="288" t="s">
        <v>29</v>
      </c>
      <c r="S78" s="288">
        <v>5</v>
      </c>
      <c r="U78" s="291" t="s">
        <v>30</v>
      </c>
      <c r="V78" t="s">
        <v>61</v>
      </c>
      <c r="W78" t="s">
        <v>31</v>
      </c>
    </row>
    <row r="79" spans="1:23" x14ac:dyDescent="0.25">
      <c r="A79" t="s">
        <v>146</v>
      </c>
      <c r="B79" t="s">
        <v>147</v>
      </c>
      <c r="C79" s="285">
        <v>1</v>
      </c>
      <c r="D79">
        <v>49041.716686372602</v>
      </c>
      <c r="E79">
        <v>22234741.2940013</v>
      </c>
      <c r="F79">
        <v>12537025.553531401</v>
      </c>
      <c r="G79">
        <v>12586067.270217801</v>
      </c>
      <c r="H79">
        <v>2.2056346884325299E-3</v>
      </c>
      <c r="I79">
        <v>0.22056346884325301</v>
      </c>
      <c r="J79">
        <v>3.8965083876850901E-3</v>
      </c>
      <c r="K79" s="286">
        <v>0.38965083876850898</v>
      </c>
      <c r="L79" s="288" t="s">
        <v>28</v>
      </c>
      <c r="M79" s="288">
        <v>5000</v>
      </c>
      <c r="N79" s="288">
        <v>16</v>
      </c>
      <c r="O79" s="288" t="s">
        <v>59</v>
      </c>
      <c r="P79" s="288" t="s">
        <v>59</v>
      </c>
      <c r="Q79" s="288">
        <v>0</v>
      </c>
      <c r="R79" s="288" t="s">
        <v>60</v>
      </c>
      <c r="S79" s="288">
        <v>7</v>
      </c>
      <c r="U79" s="291" t="s">
        <v>30</v>
      </c>
      <c r="V79" t="s">
        <v>61</v>
      </c>
      <c r="W79" t="s">
        <v>31</v>
      </c>
    </row>
    <row r="80" spans="1:23" x14ac:dyDescent="0.25">
      <c r="A80" t="s">
        <v>148</v>
      </c>
      <c r="B80" t="s">
        <v>147</v>
      </c>
      <c r="C80" s="285">
        <v>0</v>
      </c>
      <c r="D80">
        <v>0</v>
      </c>
      <c r="E80">
        <v>24669721.2837268</v>
      </c>
      <c r="F80">
        <v>11973237.2175049</v>
      </c>
      <c r="G80">
        <v>11974047.9171206</v>
      </c>
      <c r="H80" s="1">
        <v>0</v>
      </c>
      <c r="I80">
        <v>0</v>
      </c>
      <c r="J80" s="1">
        <v>0</v>
      </c>
      <c r="K80" s="286">
        <v>0</v>
      </c>
      <c r="L80" s="288" t="s">
        <v>28</v>
      </c>
      <c r="M80" s="288">
        <v>5000</v>
      </c>
      <c r="N80" s="288">
        <v>0</v>
      </c>
      <c r="O80" s="288">
        <v>2.3010299956639813</v>
      </c>
      <c r="P80" s="288">
        <v>6.495108871939955</v>
      </c>
      <c r="Q80" s="288">
        <v>0</v>
      </c>
      <c r="R80" s="288" t="s">
        <v>60</v>
      </c>
      <c r="S80" s="288">
        <v>14</v>
      </c>
      <c r="U80" s="291" t="s">
        <v>30</v>
      </c>
      <c r="V80" t="s">
        <v>25</v>
      </c>
      <c r="W80" t="s">
        <v>26</v>
      </c>
    </row>
    <row r="81" spans="1:23" x14ac:dyDescent="0.25">
      <c r="A81" t="s">
        <v>149</v>
      </c>
      <c r="B81" t="s">
        <v>147</v>
      </c>
      <c r="C81" s="285">
        <v>0</v>
      </c>
      <c r="D81">
        <v>0</v>
      </c>
      <c r="E81">
        <v>24531331.425537098</v>
      </c>
      <c r="F81">
        <v>11437776.2576649</v>
      </c>
      <c r="G81">
        <v>11439211.9552224</v>
      </c>
      <c r="H81" s="1">
        <v>0</v>
      </c>
      <c r="I81">
        <v>0</v>
      </c>
      <c r="J81" s="1">
        <v>0</v>
      </c>
      <c r="K81" s="286">
        <v>0</v>
      </c>
      <c r="L81" s="288" t="s">
        <v>28</v>
      </c>
      <c r="M81" s="288">
        <v>5000</v>
      </c>
      <c r="N81" s="288">
        <v>5</v>
      </c>
      <c r="O81" s="288">
        <v>2.3010299956639813</v>
      </c>
      <c r="P81" s="288">
        <v>7.9834734393564419</v>
      </c>
      <c r="Q81" s="288">
        <v>0</v>
      </c>
      <c r="R81" s="288" t="s">
        <v>60</v>
      </c>
      <c r="S81" s="288">
        <v>5</v>
      </c>
      <c r="U81" s="291" t="s">
        <v>30</v>
      </c>
      <c r="V81" t="s">
        <v>25</v>
      </c>
      <c r="W81" t="s">
        <v>26</v>
      </c>
    </row>
    <row r="82" spans="1:23" x14ac:dyDescent="0.25">
      <c r="A82" t="s">
        <v>150</v>
      </c>
      <c r="B82" t="s">
        <v>147</v>
      </c>
      <c r="C82" s="285">
        <v>2</v>
      </c>
      <c r="D82">
        <v>763747.89052650705</v>
      </c>
      <c r="E82">
        <v>25141190.7468662</v>
      </c>
      <c r="F82">
        <v>11761603.7666004</v>
      </c>
      <c r="G82">
        <v>12525351.6571269</v>
      </c>
      <c r="H82">
        <v>3.0378349944371899E-2</v>
      </c>
      <c r="I82">
        <v>3.0378349944371901</v>
      </c>
      <c r="J82">
        <v>6.09761634989252E-2</v>
      </c>
      <c r="K82" s="286">
        <v>6.0976163498925198</v>
      </c>
      <c r="L82" s="288" t="s">
        <v>28</v>
      </c>
      <c r="M82" s="288">
        <v>5000</v>
      </c>
      <c r="N82" s="288">
        <v>7</v>
      </c>
      <c r="O82" s="288" t="s">
        <v>59</v>
      </c>
      <c r="P82" s="288" t="s">
        <v>59</v>
      </c>
      <c r="Q82" s="288">
        <v>0</v>
      </c>
      <c r="R82" s="288" t="s">
        <v>60</v>
      </c>
      <c r="S82" s="288">
        <v>7</v>
      </c>
      <c r="U82" s="291" t="s">
        <v>30</v>
      </c>
      <c r="V82" t="s">
        <v>25</v>
      </c>
      <c r="W82" t="s">
        <v>31</v>
      </c>
    </row>
    <row r="83" spans="1:23" x14ac:dyDescent="0.25">
      <c r="A83" t="s">
        <v>151</v>
      </c>
      <c r="B83" t="s">
        <v>147</v>
      </c>
      <c r="C83" s="285">
        <v>1</v>
      </c>
      <c r="D83">
        <v>640.86084321910903</v>
      </c>
      <c r="E83">
        <v>18617366.842898801</v>
      </c>
      <c r="F83">
        <v>9376108.8560759891</v>
      </c>
      <c r="G83">
        <v>9376749.7169192098</v>
      </c>
      <c r="H83" s="1">
        <v>3.4422743486066702E-5</v>
      </c>
      <c r="I83">
        <v>3.4422743486066699E-3</v>
      </c>
      <c r="J83" s="1">
        <v>6.83457341367184E-5</v>
      </c>
      <c r="K83" s="286">
        <v>6.8345734136718303E-3</v>
      </c>
      <c r="L83" s="288" t="s">
        <v>28</v>
      </c>
      <c r="M83" s="288">
        <v>5000</v>
      </c>
      <c r="N83" s="288">
        <v>17</v>
      </c>
      <c r="O83" s="288">
        <v>7.578907842807487</v>
      </c>
      <c r="P83" s="288">
        <v>7.9650422280862347</v>
      </c>
      <c r="Q83" s="288">
        <v>0</v>
      </c>
      <c r="R83" s="288" t="s">
        <v>60</v>
      </c>
      <c r="S83" s="288">
        <v>5</v>
      </c>
      <c r="U83" s="291" t="s">
        <v>30</v>
      </c>
      <c r="V83" t="s">
        <v>25</v>
      </c>
      <c r="W83" t="s">
        <v>31</v>
      </c>
    </row>
    <row r="84" spans="1:23" x14ac:dyDescent="0.25">
      <c r="A84" t="s">
        <v>152</v>
      </c>
      <c r="B84" t="s">
        <v>147</v>
      </c>
      <c r="C84" s="285">
        <v>3</v>
      </c>
      <c r="D84">
        <v>917848.07639920001</v>
      </c>
      <c r="E84">
        <v>25311595.345005199</v>
      </c>
      <c r="F84">
        <v>14733929.680683</v>
      </c>
      <c r="G84">
        <v>15651777.7570822</v>
      </c>
      <c r="H84">
        <v>3.6261960729406101E-2</v>
      </c>
      <c r="I84">
        <v>3.6261960729406102</v>
      </c>
      <c r="J84">
        <v>5.8641777991249901E-2</v>
      </c>
      <c r="K84" s="286">
        <v>5.8641777991249899</v>
      </c>
      <c r="L84" s="288" t="s">
        <v>28</v>
      </c>
      <c r="M84" s="288">
        <v>5000</v>
      </c>
      <c r="N84" s="288">
        <v>17</v>
      </c>
      <c r="O84" s="288" t="s">
        <v>59</v>
      </c>
      <c r="P84" s="288" t="s">
        <v>59</v>
      </c>
      <c r="Q84" s="288">
        <v>0</v>
      </c>
      <c r="R84" s="288" t="s">
        <v>60</v>
      </c>
      <c r="S84" s="288">
        <v>5</v>
      </c>
      <c r="U84" s="291" t="s">
        <v>30</v>
      </c>
      <c r="V84" t="s">
        <v>25</v>
      </c>
      <c r="W84" t="s">
        <v>31</v>
      </c>
    </row>
    <row r="85" spans="1:23" x14ac:dyDescent="0.25">
      <c r="A85" t="s">
        <v>153</v>
      </c>
      <c r="B85" t="s">
        <v>147</v>
      </c>
      <c r="C85" s="285">
        <v>0</v>
      </c>
      <c r="D85">
        <v>0</v>
      </c>
      <c r="E85">
        <v>34934135.195839897</v>
      </c>
      <c r="F85">
        <v>15719341.4463355</v>
      </c>
      <c r="G85">
        <v>15720235.690478999</v>
      </c>
      <c r="H85" s="1">
        <v>0</v>
      </c>
      <c r="I85">
        <v>0</v>
      </c>
      <c r="J85" s="1">
        <v>0</v>
      </c>
      <c r="K85" s="286">
        <v>0</v>
      </c>
      <c r="L85" s="288" t="s">
        <v>28</v>
      </c>
      <c r="M85" s="288">
        <v>5000</v>
      </c>
      <c r="N85" s="288">
        <v>11</v>
      </c>
      <c r="O85" s="288">
        <v>6.7974003087072896</v>
      </c>
      <c r="P85" s="288">
        <v>7.9650422280862347</v>
      </c>
      <c r="Q85" s="288">
        <v>0</v>
      </c>
      <c r="R85" s="288" t="s">
        <v>60</v>
      </c>
      <c r="S85" s="288">
        <v>26</v>
      </c>
      <c r="U85" s="291" t="s">
        <v>30</v>
      </c>
      <c r="V85" t="s">
        <v>61</v>
      </c>
      <c r="W85" t="s">
        <v>26</v>
      </c>
    </row>
    <row r="86" spans="1:23" x14ac:dyDescent="0.25">
      <c r="A86" t="s">
        <v>154</v>
      </c>
      <c r="B86" t="s">
        <v>147</v>
      </c>
      <c r="C86" s="285">
        <v>2</v>
      </c>
      <c r="D86">
        <v>347265.76522058703</v>
      </c>
      <c r="E86">
        <v>19817248.583027702</v>
      </c>
      <c r="F86">
        <v>9910253.1989545301</v>
      </c>
      <c r="G86">
        <v>10257518.9641751</v>
      </c>
      <c r="H86">
        <v>1.75234096582912E-2</v>
      </c>
      <c r="I86">
        <v>1.75234096582912</v>
      </c>
      <c r="J86">
        <v>3.38547524438833E-2</v>
      </c>
      <c r="K86" s="286">
        <v>3.38547524438833</v>
      </c>
      <c r="L86" s="288" t="s">
        <v>28</v>
      </c>
      <c r="M86" s="288">
        <v>5000</v>
      </c>
      <c r="N86" s="288">
        <v>13</v>
      </c>
      <c r="O86" s="288" t="s">
        <v>59</v>
      </c>
      <c r="P86" s="288" t="s">
        <v>59</v>
      </c>
      <c r="Q86" s="288">
        <v>0</v>
      </c>
      <c r="R86" s="288" t="s">
        <v>60</v>
      </c>
      <c r="S86" s="288">
        <v>5</v>
      </c>
      <c r="U86" s="291" t="s">
        <v>30</v>
      </c>
      <c r="V86" t="s">
        <v>25</v>
      </c>
      <c r="W86" t="s">
        <v>31</v>
      </c>
    </row>
    <row r="87" spans="1:23" x14ac:dyDescent="0.25">
      <c r="A87" t="s">
        <v>155</v>
      </c>
      <c r="B87" t="s">
        <v>147</v>
      </c>
      <c r="C87" s="285">
        <v>1</v>
      </c>
      <c r="D87">
        <v>1711.92334356989</v>
      </c>
      <c r="E87">
        <v>28056585.197638601</v>
      </c>
      <c r="F87">
        <v>11763717.718189299</v>
      </c>
      <c r="G87">
        <v>11765429.6415329</v>
      </c>
      <c r="H87" s="1">
        <v>6.1016810545924101E-5</v>
      </c>
      <c r="I87">
        <v>6.1016810545924099E-3</v>
      </c>
      <c r="J87">
        <v>1.4550453283292499E-4</v>
      </c>
      <c r="K87" s="286">
        <v>1.45504532832925E-2</v>
      </c>
      <c r="L87" s="288" t="s">
        <v>28</v>
      </c>
      <c r="M87" s="288">
        <v>5000</v>
      </c>
      <c r="N87" s="288">
        <v>5</v>
      </c>
      <c r="O87" s="288">
        <v>2.3010299956639813</v>
      </c>
      <c r="P87" s="288">
        <v>6.0763597827681082</v>
      </c>
      <c r="Q87" s="288">
        <v>0</v>
      </c>
      <c r="R87" s="288" t="s">
        <v>60</v>
      </c>
      <c r="S87" s="288">
        <v>35</v>
      </c>
      <c r="U87" s="291" t="s">
        <v>30</v>
      </c>
      <c r="V87" t="s">
        <v>61</v>
      </c>
      <c r="W87" t="s">
        <v>31</v>
      </c>
    </row>
    <row r="88" spans="1:23" x14ac:dyDescent="0.25">
      <c r="A88" t="s">
        <v>156</v>
      </c>
      <c r="B88" t="s">
        <v>147</v>
      </c>
      <c r="C88" s="285">
        <v>2</v>
      </c>
      <c r="D88">
        <v>72787.839063798398</v>
      </c>
      <c r="E88">
        <v>33906636.427656099</v>
      </c>
      <c r="F88">
        <v>17075796.884356201</v>
      </c>
      <c r="G88">
        <v>17148584.723420002</v>
      </c>
      <c r="H88">
        <v>2.1467136446606801E-3</v>
      </c>
      <c r="I88">
        <v>0.21467136446606799</v>
      </c>
      <c r="J88">
        <v>4.2445391405619096E-3</v>
      </c>
      <c r="K88" s="286">
        <v>0.42445391405619098</v>
      </c>
      <c r="L88" s="288" t="s">
        <v>28</v>
      </c>
      <c r="M88" s="288">
        <v>5000</v>
      </c>
      <c r="N88" s="288">
        <v>16</v>
      </c>
      <c r="O88" s="288">
        <v>8.5503610709080622</v>
      </c>
      <c r="P88" s="288">
        <v>11.006143609716615</v>
      </c>
      <c r="Q88" s="288" t="s">
        <v>59</v>
      </c>
      <c r="R88" s="288" t="s">
        <v>60</v>
      </c>
      <c r="S88" s="288">
        <v>7</v>
      </c>
      <c r="U88" s="291" t="s">
        <v>30</v>
      </c>
      <c r="V88" t="s">
        <v>25</v>
      </c>
      <c r="W88" t="s">
        <v>31</v>
      </c>
    </row>
    <row r="89" spans="1:23" x14ac:dyDescent="0.25">
      <c r="A89" t="s">
        <v>157</v>
      </c>
      <c r="B89" t="s">
        <v>147</v>
      </c>
      <c r="C89" s="285">
        <v>1</v>
      </c>
      <c r="D89">
        <v>2421.5235401548598</v>
      </c>
      <c r="E89">
        <v>31019393.792381302</v>
      </c>
      <c r="F89">
        <v>14421198.059045799</v>
      </c>
      <c r="G89">
        <v>14423619.582585899</v>
      </c>
      <c r="H89" s="1">
        <v>7.80648247468207E-5</v>
      </c>
      <c r="I89">
        <v>7.8064824746820697E-3</v>
      </c>
      <c r="J89">
        <v>1.6788598217596E-4</v>
      </c>
      <c r="K89" s="286">
        <v>1.6788598217595999E-2</v>
      </c>
      <c r="L89" s="288" t="s">
        <v>28</v>
      </c>
      <c r="M89" s="288">
        <v>5000</v>
      </c>
      <c r="N89" s="288">
        <v>3</v>
      </c>
      <c r="O89" s="288">
        <v>2.3010299956639813</v>
      </c>
      <c r="P89" s="288">
        <v>6.2826364213456074</v>
      </c>
      <c r="Q89" s="288">
        <v>0</v>
      </c>
      <c r="R89" s="288" t="s">
        <v>60</v>
      </c>
      <c r="S89" s="288">
        <v>5</v>
      </c>
      <c r="U89" s="291" t="s">
        <v>30</v>
      </c>
      <c r="V89" t="s">
        <v>25</v>
      </c>
      <c r="W89" t="s">
        <v>31</v>
      </c>
    </row>
    <row r="90" spans="1:23" x14ac:dyDescent="0.25">
      <c r="A90" t="s">
        <v>158</v>
      </c>
      <c r="B90" t="s">
        <v>147</v>
      </c>
      <c r="C90" s="285">
        <v>3</v>
      </c>
      <c r="D90">
        <v>799429.278734316</v>
      </c>
      <c r="E90">
        <v>19645817.8946977</v>
      </c>
      <c r="F90">
        <v>12338846.2504564</v>
      </c>
      <c r="G90">
        <v>13138275.529190799</v>
      </c>
      <c r="H90">
        <v>4.0692084341781197E-2</v>
      </c>
      <c r="I90">
        <v>4.0692084341781198</v>
      </c>
      <c r="J90">
        <v>6.0847352223519197E-2</v>
      </c>
      <c r="K90" s="286">
        <v>6.0847352223519202</v>
      </c>
      <c r="L90" s="288" t="s">
        <v>28</v>
      </c>
      <c r="M90" s="288">
        <v>5000</v>
      </c>
      <c r="N90" s="288">
        <v>6</v>
      </c>
      <c r="O90" s="288">
        <v>8.0265818103788522</v>
      </c>
      <c r="P90" s="288">
        <v>10.308934885532011</v>
      </c>
      <c r="Q90" s="288" t="s">
        <v>59</v>
      </c>
      <c r="R90" s="288" t="s">
        <v>60</v>
      </c>
      <c r="S90" s="288">
        <v>7</v>
      </c>
      <c r="U90" s="291" t="s">
        <v>30</v>
      </c>
      <c r="V90" t="s">
        <v>25</v>
      </c>
      <c r="W90" t="s">
        <v>31</v>
      </c>
    </row>
    <row r="91" spans="1:23" x14ac:dyDescent="0.25">
      <c r="A91" t="s">
        <v>159</v>
      </c>
      <c r="B91" t="s">
        <v>147</v>
      </c>
      <c r="C91" s="285">
        <v>0</v>
      </c>
      <c r="D91">
        <v>0</v>
      </c>
      <c r="E91">
        <v>29673211.166145299</v>
      </c>
      <c r="F91">
        <v>17113568.7322703</v>
      </c>
      <c r="G91">
        <v>17123191.797671899</v>
      </c>
      <c r="H91" s="1">
        <v>0</v>
      </c>
      <c r="I91">
        <v>0</v>
      </c>
      <c r="J91" s="1">
        <v>0</v>
      </c>
      <c r="K91" s="286">
        <v>0</v>
      </c>
      <c r="L91" s="288" t="s">
        <v>28</v>
      </c>
      <c r="M91" s="288">
        <v>5000</v>
      </c>
      <c r="N91" s="288">
        <v>10</v>
      </c>
      <c r="O91" s="288">
        <v>2.3010299956639813</v>
      </c>
      <c r="P91" s="288">
        <v>7.4944310830927883</v>
      </c>
      <c r="Q91" s="288">
        <v>0</v>
      </c>
      <c r="R91" s="288" t="s">
        <v>60</v>
      </c>
      <c r="S91" s="288">
        <v>26</v>
      </c>
      <c r="U91" s="291" t="s">
        <v>30</v>
      </c>
      <c r="V91" t="s">
        <v>61</v>
      </c>
      <c r="W91" t="s">
        <v>26</v>
      </c>
    </row>
    <row r="92" spans="1:23" x14ac:dyDescent="0.25">
      <c r="A92" t="s">
        <v>160</v>
      </c>
      <c r="B92" t="s">
        <v>147</v>
      </c>
      <c r="C92" s="285">
        <v>3</v>
      </c>
      <c r="D92">
        <v>808826.32009014406</v>
      </c>
      <c r="E92">
        <v>30163596.566891901</v>
      </c>
      <c r="F92">
        <v>16815022.045175899</v>
      </c>
      <c r="G92">
        <v>17623848.365265999</v>
      </c>
      <c r="H92">
        <v>2.68146511738565E-2</v>
      </c>
      <c r="I92">
        <v>2.6814651173856499</v>
      </c>
      <c r="J92">
        <v>4.5893853789857601E-2</v>
      </c>
      <c r="K92" s="286">
        <v>4.5893853789857602</v>
      </c>
      <c r="L92" s="288" t="s">
        <v>28</v>
      </c>
      <c r="M92" s="288">
        <v>5000</v>
      </c>
      <c r="N92" s="288">
        <v>15</v>
      </c>
      <c r="O92" s="288">
        <v>8.4881646011090037</v>
      </c>
      <c r="P92" s="288">
        <v>11.087781127142744</v>
      </c>
      <c r="Q92" s="288" t="s">
        <v>59</v>
      </c>
      <c r="R92" s="288" t="s">
        <v>60</v>
      </c>
      <c r="S92" s="288">
        <v>7</v>
      </c>
      <c r="U92" s="291" t="s">
        <v>30</v>
      </c>
      <c r="V92" t="s">
        <v>25</v>
      </c>
      <c r="W92" t="s">
        <v>31</v>
      </c>
    </row>
    <row r="93" spans="1:23" x14ac:dyDescent="0.25">
      <c r="A93" t="s">
        <v>161</v>
      </c>
      <c r="B93" t="s">
        <v>147</v>
      </c>
      <c r="C93" s="285">
        <v>1</v>
      </c>
      <c r="D93">
        <v>486.88503589766498</v>
      </c>
      <c r="E93">
        <v>17347741.9592291</v>
      </c>
      <c r="F93">
        <v>8664697.4690935407</v>
      </c>
      <c r="G93">
        <v>8665184.3541294392</v>
      </c>
      <c r="H93" s="1">
        <v>2.8066190806961799E-5</v>
      </c>
      <c r="I93">
        <v>2.80661908069618E-3</v>
      </c>
      <c r="J93" s="1">
        <v>5.6188652889495402E-5</v>
      </c>
      <c r="K93" s="286">
        <v>5.6188652889495403E-3</v>
      </c>
      <c r="L93" s="288" t="s">
        <v>28</v>
      </c>
      <c r="M93" s="288">
        <v>5000</v>
      </c>
      <c r="N93" s="288">
        <v>0</v>
      </c>
      <c r="O93" s="288" t="s">
        <v>59</v>
      </c>
      <c r="P93" s="288" t="s">
        <v>59</v>
      </c>
      <c r="Q93" s="288">
        <v>0</v>
      </c>
      <c r="R93" s="288" t="s">
        <v>60</v>
      </c>
      <c r="S93" s="288">
        <v>7</v>
      </c>
      <c r="U93" s="291" t="s">
        <v>30</v>
      </c>
      <c r="V93" t="s">
        <v>25</v>
      </c>
      <c r="W93" t="s">
        <v>31</v>
      </c>
    </row>
    <row r="94" spans="1:23" x14ac:dyDescent="0.25">
      <c r="A94" t="s">
        <v>162</v>
      </c>
      <c r="B94" t="s">
        <v>147</v>
      </c>
      <c r="C94" s="285">
        <v>0</v>
      </c>
      <c r="D94">
        <v>0</v>
      </c>
      <c r="E94">
        <v>32568916.964993201</v>
      </c>
      <c r="F94">
        <v>15744736.531000201</v>
      </c>
      <c r="G94">
        <v>15746649.172973201</v>
      </c>
      <c r="H94" s="1">
        <v>0</v>
      </c>
      <c r="I94">
        <v>0</v>
      </c>
      <c r="J94" s="1">
        <v>0</v>
      </c>
      <c r="K94" s="286">
        <v>0</v>
      </c>
      <c r="L94" s="288" t="s">
        <v>28</v>
      </c>
      <c r="M94" s="288">
        <v>5000</v>
      </c>
      <c r="N94" s="288">
        <v>6</v>
      </c>
      <c r="O94" s="288">
        <v>2.3010299956639813</v>
      </c>
      <c r="P94" s="288">
        <v>6.5095070411615872</v>
      </c>
      <c r="Q94" s="288">
        <v>0</v>
      </c>
      <c r="R94" s="288" t="s">
        <v>60</v>
      </c>
      <c r="S94" s="288">
        <v>14</v>
      </c>
      <c r="U94" s="291" t="s">
        <v>30</v>
      </c>
      <c r="V94" t="s">
        <v>25</v>
      </c>
      <c r="W94" t="s">
        <v>26</v>
      </c>
    </row>
    <row r="95" spans="1:23" x14ac:dyDescent="0.25">
      <c r="A95" t="s">
        <v>163</v>
      </c>
      <c r="B95" t="s">
        <v>147</v>
      </c>
      <c r="C95" s="285">
        <v>1</v>
      </c>
      <c r="D95">
        <v>6766.6865290819596</v>
      </c>
      <c r="E95">
        <v>24636023.6353052</v>
      </c>
      <c r="F95">
        <v>12587452.1255248</v>
      </c>
      <c r="G95">
        <v>12594218.8120539</v>
      </c>
      <c r="H95">
        <v>2.7466634345101E-4</v>
      </c>
      <c r="I95">
        <v>2.7466634345101E-2</v>
      </c>
      <c r="J95">
        <v>5.3728513296954702E-4</v>
      </c>
      <c r="K95" s="286">
        <v>5.3728513296954702E-2</v>
      </c>
      <c r="L95" s="288" t="s">
        <v>28</v>
      </c>
      <c r="M95" s="288">
        <v>5000</v>
      </c>
      <c r="N95" s="288">
        <v>5</v>
      </c>
      <c r="O95" s="288">
        <v>2.3010299956639813</v>
      </c>
      <c r="P95" s="288">
        <v>5.753686380105612</v>
      </c>
      <c r="Q95" s="288">
        <v>0</v>
      </c>
      <c r="R95" s="288" t="s">
        <v>60</v>
      </c>
      <c r="S95" s="288">
        <v>35</v>
      </c>
      <c r="U95" s="291" t="s">
        <v>30</v>
      </c>
      <c r="V95" t="s">
        <v>61</v>
      </c>
      <c r="W95" t="s">
        <v>31</v>
      </c>
    </row>
    <row r="96" spans="1:23" x14ac:dyDescent="0.25">
      <c r="A96" t="s">
        <v>164</v>
      </c>
      <c r="B96" t="s">
        <v>147</v>
      </c>
      <c r="C96" s="285">
        <v>0</v>
      </c>
      <c r="D96">
        <v>0</v>
      </c>
      <c r="E96">
        <v>30875616.757520001</v>
      </c>
      <c r="F96">
        <v>16066110.7216218</v>
      </c>
      <c r="G96">
        <v>16066623.8333441</v>
      </c>
      <c r="H96" s="1">
        <v>0</v>
      </c>
      <c r="I96">
        <v>0</v>
      </c>
      <c r="J96" s="1">
        <v>0</v>
      </c>
      <c r="K96" s="286">
        <v>0</v>
      </c>
      <c r="L96" s="288" t="s">
        <v>28</v>
      </c>
      <c r="M96" s="288">
        <v>5000</v>
      </c>
      <c r="N96" s="288">
        <v>5</v>
      </c>
      <c r="O96" s="288">
        <v>2.3010299956639813</v>
      </c>
      <c r="P96" s="288">
        <v>6.4567028940328299</v>
      </c>
      <c r="Q96" s="288">
        <v>0</v>
      </c>
      <c r="R96" s="288" t="s">
        <v>60</v>
      </c>
      <c r="S96" s="288">
        <v>14</v>
      </c>
      <c r="U96" s="291" t="s">
        <v>30</v>
      </c>
      <c r="V96" t="s">
        <v>25</v>
      </c>
      <c r="W96" t="s">
        <v>26</v>
      </c>
    </row>
    <row r="97" spans="1:23" x14ac:dyDescent="0.25">
      <c r="A97" t="s">
        <v>165</v>
      </c>
      <c r="B97" t="s">
        <v>147</v>
      </c>
      <c r="C97" s="285">
        <v>3</v>
      </c>
      <c r="D97">
        <v>391995.55994300399</v>
      </c>
      <c r="E97">
        <v>19232268.398644</v>
      </c>
      <c r="F97">
        <v>11708792.724853</v>
      </c>
      <c r="G97">
        <v>12100788.284796</v>
      </c>
      <c r="H97">
        <v>2.0382180188928699E-2</v>
      </c>
      <c r="I97">
        <v>2.03821801889287</v>
      </c>
      <c r="J97">
        <v>3.2394216865650402E-2</v>
      </c>
      <c r="K97" s="286">
        <v>3.23942168656504</v>
      </c>
      <c r="L97" s="288" t="s">
        <v>28</v>
      </c>
      <c r="M97" s="288">
        <v>5000</v>
      </c>
      <c r="N97" s="288">
        <v>15</v>
      </c>
      <c r="O97" s="288" t="s">
        <v>59</v>
      </c>
      <c r="P97" s="288" t="s">
        <v>59</v>
      </c>
      <c r="Q97" s="288">
        <v>0</v>
      </c>
      <c r="R97" s="288" t="s">
        <v>60</v>
      </c>
      <c r="S97" s="288">
        <v>7</v>
      </c>
      <c r="U97" s="291" t="s">
        <v>30</v>
      </c>
      <c r="V97" t="s">
        <v>25</v>
      </c>
      <c r="W97" t="s">
        <v>31</v>
      </c>
    </row>
    <row r="98" spans="1:23" x14ac:dyDescent="0.25">
      <c r="A98" t="s">
        <v>166</v>
      </c>
      <c r="B98" t="s">
        <v>147</v>
      </c>
      <c r="C98" s="285">
        <v>2</v>
      </c>
      <c r="D98">
        <v>177935.76138460301</v>
      </c>
      <c r="E98">
        <v>25699696.514104299</v>
      </c>
      <c r="F98">
        <v>11603204.0222675</v>
      </c>
      <c r="G98">
        <v>11781139.783652101</v>
      </c>
      <c r="H98">
        <v>6.9236522418445598E-3</v>
      </c>
      <c r="I98">
        <v>0.69236522418445601</v>
      </c>
      <c r="J98">
        <v>1.5103441997311E-2</v>
      </c>
      <c r="K98" s="286">
        <v>1.5103441997311</v>
      </c>
      <c r="L98" s="288" t="s">
        <v>28</v>
      </c>
      <c r="M98" s="288">
        <v>5000</v>
      </c>
      <c r="N98" s="288">
        <v>25</v>
      </c>
      <c r="O98" s="288" t="s">
        <v>59</v>
      </c>
      <c r="P98" s="288" t="s">
        <v>59</v>
      </c>
      <c r="Q98" s="288">
        <v>0</v>
      </c>
      <c r="R98" s="288" t="s">
        <v>60</v>
      </c>
      <c r="S98" s="288">
        <v>7</v>
      </c>
      <c r="U98" s="291" t="s">
        <v>30</v>
      </c>
      <c r="V98" t="s">
        <v>25</v>
      </c>
      <c r="W98" t="s">
        <v>31</v>
      </c>
    </row>
    <row r="99" spans="1:23" x14ac:dyDescent="0.25">
      <c r="A99" t="s">
        <v>167</v>
      </c>
      <c r="B99" t="s">
        <v>147</v>
      </c>
      <c r="C99" s="285">
        <v>1</v>
      </c>
      <c r="D99">
        <v>945.85140496715201</v>
      </c>
      <c r="E99">
        <v>20302309.545948099</v>
      </c>
      <c r="F99">
        <v>9741691.0043476094</v>
      </c>
      <c r="G99">
        <v>9742636.8557525706</v>
      </c>
      <c r="H99" s="1">
        <v>4.6588364876739901E-5</v>
      </c>
      <c r="I99">
        <v>4.6588364876739901E-3</v>
      </c>
      <c r="J99" s="1">
        <v>9.7083717577820899E-5</v>
      </c>
      <c r="K99" s="286">
        <v>9.7083717577820892E-3</v>
      </c>
      <c r="L99" s="288" t="s">
        <v>28</v>
      </c>
      <c r="M99" s="288">
        <v>5000</v>
      </c>
      <c r="N99" s="288">
        <v>17</v>
      </c>
      <c r="O99" s="288" t="s">
        <v>59</v>
      </c>
      <c r="P99" s="288" t="s">
        <v>59</v>
      </c>
      <c r="Q99" s="288">
        <v>0</v>
      </c>
      <c r="R99" s="288" t="s">
        <v>60</v>
      </c>
      <c r="S99" s="288">
        <v>7</v>
      </c>
      <c r="U99" s="291" t="s">
        <v>30</v>
      </c>
      <c r="V99" t="s">
        <v>25</v>
      </c>
      <c r="W99" t="s">
        <v>31</v>
      </c>
    </row>
    <row r="100" spans="1:23" x14ac:dyDescent="0.25">
      <c r="A100" t="s">
        <v>168</v>
      </c>
      <c r="B100" t="s">
        <v>147</v>
      </c>
      <c r="C100" s="285">
        <v>0</v>
      </c>
      <c r="D100">
        <v>0</v>
      </c>
      <c r="E100">
        <v>20778215.7468022</v>
      </c>
      <c r="F100">
        <v>11606018.9476064</v>
      </c>
      <c r="G100">
        <v>11606268.312246</v>
      </c>
      <c r="H100" s="1">
        <v>0</v>
      </c>
      <c r="I100">
        <v>0</v>
      </c>
      <c r="J100" s="1">
        <v>0</v>
      </c>
      <c r="K100" s="286">
        <v>0</v>
      </c>
      <c r="L100" s="288" t="s">
        <v>28</v>
      </c>
      <c r="M100" s="288">
        <v>5000</v>
      </c>
      <c r="N100" s="288">
        <v>5</v>
      </c>
      <c r="O100" s="288">
        <v>2.3010299956639813</v>
      </c>
      <c r="P100" s="288">
        <v>7.7345581072480964</v>
      </c>
      <c r="Q100" s="288">
        <v>0</v>
      </c>
      <c r="R100" s="288" t="s">
        <v>60</v>
      </c>
      <c r="S100" s="288">
        <v>5</v>
      </c>
      <c r="U100" s="291" t="s">
        <v>30</v>
      </c>
      <c r="V100" t="s">
        <v>25</v>
      </c>
      <c r="W100" t="s">
        <v>26</v>
      </c>
    </row>
    <row r="101" spans="1:23" x14ac:dyDescent="0.25">
      <c r="A101" t="s">
        <v>169</v>
      </c>
      <c r="B101" t="s">
        <v>147</v>
      </c>
      <c r="C101" s="285">
        <v>0</v>
      </c>
      <c r="D101">
        <v>0</v>
      </c>
      <c r="E101">
        <v>32689929.125565</v>
      </c>
      <c r="F101">
        <v>15602795.980843799</v>
      </c>
      <c r="G101">
        <v>15603156.597265</v>
      </c>
      <c r="H101" s="1">
        <v>0</v>
      </c>
      <c r="I101">
        <v>0</v>
      </c>
      <c r="J101" s="1">
        <v>0</v>
      </c>
      <c r="K101" s="286">
        <v>0</v>
      </c>
      <c r="L101" s="288" t="s">
        <v>28</v>
      </c>
      <c r="M101" s="288">
        <v>5000</v>
      </c>
      <c r="N101" s="288">
        <v>1</v>
      </c>
      <c r="O101" s="288">
        <v>7.0093350553890117</v>
      </c>
      <c r="P101" s="288">
        <v>8.7931939070771925</v>
      </c>
      <c r="Q101" s="288">
        <v>0</v>
      </c>
      <c r="R101" s="288" t="s">
        <v>60</v>
      </c>
      <c r="S101" s="288">
        <v>5</v>
      </c>
      <c r="U101" s="291" t="s">
        <v>30</v>
      </c>
      <c r="V101" t="s">
        <v>25</v>
      </c>
      <c r="W101" t="s">
        <v>26</v>
      </c>
    </row>
    <row r="102" spans="1:23" x14ac:dyDescent="0.25">
      <c r="A102" t="s">
        <v>170</v>
      </c>
      <c r="B102" t="s">
        <v>147</v>
      </c>
      <c r="C102" s="285">
        <v>4</v>
      </c>
      <c r="D102">
        <v>10470119.963497801</v>
      </c>
      <c r="E102">
        <v>24899587.099439301</v>
      </c>
      <c r="F102">
        <v>7700249.8433766402</v>
      </c>
      <c r="G102">
        <v>18170369.806874499</v>
      </c>
      <c r="H102">
        <v>0.420493718296783</v>
      </c>
      <c r="I102">
        <v>42.0493718296783</v>
      </c>
      <c r="J102">
        <v>0.57621942067115395</v>
      </c>
      <c r="K102" s="286">
        <v>57.621942067115398</v>
      </c>
      <c r="L102" s="288" t="s">
        <v>28</v>
      </c>
      <c r="M102" s="288">
        <v>5000</v>
      </c>
      <c r="N102" s="288">
        <v>25</v>
      </c>
      <c r="O102" s="288">
        <v>9.2749618758128047</v>
      </c>
      <c r="P102" s="288">
        <v>11.646502697467559</v>
      </c>
      <c r="Q102" s="288">
        <v>4.1461280356782382</v>
      </c>
      <c r="R102" s="288" t="s">
        <v>29</v>
      </c>
      <c r="S102" s="288">
        <v>7</v>
      </c>
      <c r="U102" s="291" t="s">
        <v>30</v>
      </c>
      <c r="V102" t="s">
        <v>61</v>
      </c>
      <c r="W102" t="s">
        <v>31</v>
      </c>
    </row>
    <row r="103" spans="1:23" x14ac:dyDescent="0.25">
      <c r="A103" t="s">
        <v>171</v>
      </c>
      <c r="B103" t="s">
        <v>147</v>
      </c>
      <c r="C103" s="285">
        <v>4</v>
      </c>
      <c r="D103">
        <v>2746086.0236235699</v>
      </c>
      <c r="E103">
        <v>27919355.182875499</v>
      </c>
      <c r="F103">
        <v>18020699.260860801</v>
      </c>
      <c r="G103">
        <v>20766785.284484401</v>
      </c>
      <c r="H103">
        <v>9.8357788195190601E-2</v>
      </c>
      <c r="I103">
        <v>9.8357788195190601</v>
      </c>
      <c r="J103">
        <v>0.132234526721632</v>
      </c>
      <c r="K103" s="286">
        <v>13.2234526721632</v>
      </c>
      <c r="L103" s="288" t="s">
        <v>28</v>
      </c>
      <c r="M103" s="288">
        <v>5000</v>
      </c>
      <c r="N103" s="288">
        <v>41</v>
      </c>
      <c r="O103" s="288">
        <v>8.5503610709080622</v>
      </c>
      <c r="P103" s="288">
        <v>11.006143609716615</v>
      </c>
      <c r="Q103" s="288">
        <v>3.1139433523068369</v>
      </c>
      <c r="R103" s="288" t="s">
        <v>29</v>
      </c>
      <c r="S103" s="288">
        <v>7</v>
      </c>
      <c r="U103" s="291" t="s">
        <v>30</v>
      </c>
      <c r="V103" t="s">
        <v>25</v>
      </c>
      <c r="W103" t="s">
        <v>31</v>
      </c>
    </row>
    <row r="104" spans="1:23" x14ac:dyDescent="0.25">
      <c r="A104" t="s">
        <v>172</v>
      </c>
      <c r="B104" t="s">
        <v>147</v>
      </c>
      <c r="C104" s="285">
        <v>4</v>
      </c>
      <c r="D104">
        <v>6774154.2499104496</v>
      </c>
      <c r="E104">
        <v>19434984.1075055</v>
      </c>
      <c r="F104">
        <v>6708396.4317667698</v>
      </c>
      <c r="G104">
        <v>13482550.6816772</v>
      </c>
      <c r="H104">
        <v>0.34855465857028101</v>
      </c>
      <c r="I104">
        <v>34.855465857028101</v>
      </c>
      <c r="J104">
        <v>0.502438626773829</v>
      </c>
      <c r="K104" s="286">
        <v>50.2438626773829</v>
      </c>
      <c r="L104" s="288" t="s">
        <v>28</v>
      </c>
      <c r="M104" s="288">
        <v>5000</v>
      </c>
      <c r="N104" s="288">
        <v>29</v>
      </c>
      <c r="O104" s="288">
        <v>8.5503610709080622</v>
      </c>
      <c r="P104" s="288">
        <v>11.810874426539545</v>
      </c>
      <c r="Q104" s="288">
        <v>2.3521825181113627</v>
      </c>
      <c r="R104" s="288" t="s">
        <v>29</v>
      </c>
      <c r="S104" s="288">
        <v>7</v>
      </c>
      <c r="U104" s="291" t="s">
        <v>30</v>
      </c>
      <c r="V104" t="s">
        <v>61</v>
      </c>
      <c r="W104" t="s">
        <v>31</v>
      </c>
    </row>
    <row r="105" spans="1:23" x14ac:dyDescent="0.25">
      <c r="A105" t="s">
        <v>173</v>
      </c>
      <c r="B105" t="s">
        <v>147</v>
      </c>
      <c r="C105" s="285">
        <v>0</v>
      </c>
      <c r="D105">
        <v>0</v>
      </c>
      <c r="E105">
        <v>20057628.174176</v>
      </c>
      <c r="F105">
        <v>8910722.0708966795</v>
      </c>
      <c r="G105">
        <v>8911732.8543626405</v>
      </c>
      <c r="H105" s="1">
        <v>0</v>
      </c>
      <c r="I105">
        <v>0</v>
      </c>
      <c r="J105" s="1">
        <v>0</v>
      </c>
      <c r="K105" s="286">
        <v>0</v>
      </c>
      <c r="L105" s="288" t="s">
        <v>28</v>
      </c>
      <c r="M105" s="288">
        <v>5000</v>
      </c>
      <c r="N105" s="288">
        <v>8</v>
      </c>
      <c r="O105" s="288">
        <v>8.0265818103788522</v>
      </c>
      <c r="P105" s="288">
        <v>10.308934885532011</v>
      </c>
      <c r="Q105" s="288">
        <v>2.3521825181113627</v>
      </c>
      <c r="R105" s="288" t="s">
        <v>29</v>
      </c>
      <c r="S105" s="288">
        <v>7</v>
      </c>
      <c r="U105" s="291" t="s">
        <v>30</v>
      </c>
      <c r="V105" t="s">
        <v>25</v>
      </c>
      <c r="W105" t="s">
        <v>26</v>
      </c>
    </row>
    <row r="106" spans="1:23" x14ac:dyDescent="0.25">
      <c r="A106" t="s">
        <v>174</v>
      </c>
      <c r="B106" t="s">
        <v>147</v>
      </c>
      <c r="C106" s="285">
        <v>4</v>
      </c>
      <c r="D106">
        <v>4687534.4654721403</v>
      </c>
      <c r="E106">
        <v>28080343.780982699</v>
      </c>
      <c r="F106">
        <v>14192181.6612281</v>
      </c>
      <c r="G106">
        <v>18879716.1267002</v>
      </c>
      <c r="H106">
        <v>0.166932944341185</v>
      </c>
      <c r="I106">
        <v>16.693294434118499</v>
      </c>
      <c r="J106">
        <v>0.24828416031334699</v>
      </c>
      <c r="K106" s="286">
        <v>24.828416031334701</v>
      </c>
      <c r="L106" s="288" t="s">
        <v>28</v>
      </c>
      <c r="M106" s="288">
        <v>5000</v>
      </c>
      <c r="N106" s="288">
        <v>11</v>
      </c>
      <c r="O106" s="288">
        <v>8.4881646011090037</v>
      </c>
      <c r="P106" s="288">
        <v>11.087781127142744</v>
      </c>
      <c r="Q106" s="288">
        <v>2.3222192947339191</v>
      </c>
      <c r="R106" s="288" t="s">
        <v>29</v>
      </c>
      <c r="S106" s="288">
        <v>7</v>
      </c>
      <c r="U106" s="291" t="s">
        <v>30</v>
      </c>
      <c r="V106" t="s">
        <v>25</v>
      </c>
      <c r="W106" t="s">
        <v>31</v>
      </c>
    </row>
    <row r="107" spans="1:23" x14ac:dyDescent="0.25">
      <c r="A107" t="s">
        <v>175</v>
      </c>
      <c r="B107" t="s">
        <v>176</v>
      </c>
      <c r="C107" s="285">
        <v>3</v>
      </c>
      <c r="D107">
        <v>2626918.8034620001</v>
      </c>
      <c r="E107">
        <v>31479217.8331731</v>
      </c>
      <c r="F107">
        <v>12615962.4763464</v>
      </c>
      <c r="G107">
        <v>15242881.2798084</v>
      </c>
      <c r="H107">
        <v>8.3449303517755299E-2</v>
      </c>
      <c r="I107">
        <v>8.3449303517755293</v>
      </c>
      <c r="J107">
        <v>0.172337418053748</v>
      </c>
      <c r="K107" s="286">
        <v>17.233741805374802</v>
      </c>
      <c r="L107" s="288" t="s">
        <v>28</v>
      </c>
      <c r="M107" s="288">
        <v>5000</v>
      </c>
      <c r="N107" s="288">
        <v>12</v>
      </c>
      <c r="O107" s="288">
        <v>6.2102290000000009</v>
      </c>
      <c r="P107" s="288">
        <v>11.954870222007395</v>
      </c>
      <c r="Q107" s="288">
        <v>4.7403626894942441</v>
      </c>
      <c r="R107" s="288" t="s">
        <v>29</v>
      </c>
      <c r="S107" s="288">
        <v>2</v>
      </c>
      <c r="U107" s="291" t="s">
        <v>30</v>
      </c>
      <c r="V107" t="s">
        <v>61</v>
      </c>
      <c r="W107" t="s">
        <v>31</v>
      </c>
    </row>
    <row r="108" spans="1:23" x14ac:dyDescent="0.25">
      <c r="A108" t="s">
        <v>177</v>
      </c>
      <c r="B108" t="s">
        <v>176</v>
      </c>
      <c r="C108" s="285">
        <v>4</v>
      </c>
      <c r="D108">
        <v>9128853.1428220998</v>
      </c>
      <c r="E108">
        <v>30446724.041483101</v>
      </c>
      <c r="F108">
        <v>10366789.078614701</v>
      </c>
      <c r="G108">
        <v>19495642.221436799</v>
      </c>
      <c r="H108">
        <v>0.29983038997509798</v>
      </c>
      <c r="I108">
        <v>29.983038997509802</v>
      </c>
      <c r="J108">
        <v>0.46825095778503101</v>
      </c>
      <c r="K108" s="286">
        <v>46.825095778503098</v>
      </c>
      <c r="L108" s="288" t="s">
        <v>28</v>
      </c>
      <c r="M108" s="288">
        <v>5000</v>
      </c>
      <c r="N108" s="288">
        <v>12</v>
      </c>
      <c r="O108" s="288">
        <v>4.5878040000000011</v>
      </c>
      <c r="P108" s="288">
        <v>11.336942365707197</v>
      </c>
      <c r="Q108" s="288">
        <v>2.6627578316815739</v>
      </c>
      <c r="R108" s="288" t="s">
        <v>29</v>
      </c>
      <c r="S108" s="288">
        <v>5</v>
      </c>
      <c r="U108" s="291" t="s">
        <v>30</v>
      </c>
      <c r="V108" t="s">
        <v>61</v>
      </c>
      <c r="W108" t="s">
        <v>31</v>
      </c>
    </row>
    <row r="109" spans="1:23" x14ac:dyDescent="0.25">
      <c r="A109" t="s">
        <v>178</v>
      </c>
      <c r="B109" t="s">
        <v>176</v>
      </c>
      <c r="C109" s="285">
        <v>2</v>
      </c>
      <c r="D109">
        <v>983371.51619570295</v>
      </c>
      <c r="E109">
        <v>19829708.760222498</v>
      </c>
      <c r="F109">
        <v>10873401.0000656</v>
      </c>
      <c r="G109">
        <v>11856772.5162613</v>
      </c>
      <c r="H109">
        <v>4.9590819920073699E-2</v>
      </c>
      <c r="I109">
        <v>4.9590819920073699</v>
      </c>
      <c r="J109">
        <v>8.2937537584281504E-2</v>
      </c>
      <c r="K109" s="286">
        <v>8.2937537584281493</v>
      </c>
      <c r="L109" s="288" t="s">
        <v>28</v>
      </c>
      <c r="M109" s="288">
        <v>5000</v>
      </c>
      <c r="N109" s="288">
        <v>0</v>
      </c>
      <c r="O109" s="288">
        <v>5.8778090000000009</v>
      </c>
      <c r="P109" s="288">
        <v>10.905604539187749</v>
      </c>
      <c r="Q109" s="288">
        <v>5.5622928644564746</v>
      </c>
      <c r="R109" s="288" t="s">
        <v>60</v>
      </c>
      <c r="S109" s="288">
        <v>2</v>
      </c>
      <c r="V109" t="s">
        <v>61</v>
      </c>
      <c r="W109" t="s">
        <v>31</v>
      </c>
    </row>
    <row r="110" spans="1:23" x14ac:dyDescent="0.25">
      <c r="A110" t="s">
        <v>179</v>
      </c>
      <c r="B110" t="s">
        <v>176</v>
      </c>
      <c r="C110" s="285">
        <v>0</v>
      </c>
      <c r="D110">
        <v>0</v>
      </c>
      <c r="E110">
        <v>30965967.0450323</v>
      </c>
      <c r="F110">
        <v>13130498.127425401</v>
      </c>
      <c r="G110">
        <v>13130772.661259601</v>
      </c>
      <c r="H110" s="1">
        <v>0</v>
      </c>
      <c r="I110">
        <v>0</v>
      </c>
      <c r="J110" s="1">
        <v>0</v>
      </c>
      <c r="K110" s="286">
        <v>0</v>
      </c>
      <c r="L110" s="288" t="s">
        <v>28</v>
      </c>
      <c r="M110" s="288">
        <v>5000</v>
      </c>
      <c r="N110" s="288">
        <v>15</v>
      </c>
      <c r="O110" s="288">
        <v>0</v>
      </c>
      <c r="P110" s="288">
        <v>7.3140214828410564</v>
      </c>
      <c r="Q110" s="288">
        <v>0</v>
      </c>
      <c r="R110" s="288" t="s">
        <v>60</v>
      </c>
      <c r="S110" s="288">
        <v>13</v>
      </c>
      <c r="V110" t="s">
        <v>61</v>
      </c>
      <c r="W110" t="s">
        <v>26</v>
      </c>
    </row>
    <row r="111" spans="1:23" x14ac:dyDescent="0.25">
      <c r="A111" t="s">
        <v>180</v>
      </c>
      <c r="B111" t="s">
        <v>176</v>
      </c>
      <c r="C111" s="285">
        <v>2</v>
      </c>
      <c r="D111">
        <v>269529.152451551</v>
      </c>
      <c r="E111">
        <v>22149848.252886601</v>
      </c>
      <c r="F111">
        <v>11454716.1374435</v>
      </c>
      <c r="G111">
        <v>11724245.289895101</v>
      </c>
      <c r="H111">
        <v>1.21684423917633E-2</v>
      </c>
      <c r="I111">
        <v>1.2168442391763299</v>
      </c>
      <c r="J111">
        <v>2.2989040726045899E-2</v>
      </c>
      <c r="K111" s="286">
        <v>2.2989040726045902</v>
      </c>
      <c r="L111" s="288" t="s">
        <v>28</v>
      </c>
      <c r="M111" s="288">
        <v>5000</v>
      </c>
      <c r="N111" s="288">
        <v>9</v>
      </c>
      <c r="O111" s="288">
        <v>5.8350860000000013</v>
      </c>
      <c r="P111" s="288">
        <v>10.495376751836918</v>
      </c>
      <c r="Q111" s="288">
        <v>3.3979400086720375</v>
      </c>
      <c r="R111" s="288" t="s">
        <v>60</v>
      </c>
      <c r="S111" s="288">
        <v>2</v>
      </c>
      <c r="V111" t="s">
        <v>61</v>
      </c>
      <c r="W111" t="s">
        <v>31</v>
      </c>
    </row>
    <row r="112" spans="1:23" x14ac:dyDescent="0.25">
      <c r="A112" t="s">
        <v>181</v>
      </c>
      <c r="B112" t="s">
        <v>176</v>
      </c>
      <c r="C112" s="285">
        <v>0</v>
      </c>
      <c r="D112">
        <v>0</v>
      </c>
      <c r="E112">
        <v>23974719.249548201</v>
      </c>
      <c r="F112">
        <v>12351821.3274386</v>
      </c>
      <c r="G112">
        <v>12352314.5576548</v>
      </c>
      <c r="H112" s="1">
        <v>0</v>
      </c>
      <c r="I112">
        <v>0</v>
      </c>
      <c r="J112" s="1">
        <v>0</v>
      </c>
      <c r="K112" s="286">
        <v>0</v>
      </c>
      <c r="L112" s="288" t="s">
        <v>28</v>
      </c>
      <c r="M112" s="288">
        <v>5000</v>
      </c>
      <c r="N112" s="288">
        <v>14</v>
      </c>
      <c r="O112" s="288">
        <v>0</v>
      </c>
      <c r="P112" s="288">
        <v>7.5094554252672419</v>
      </c>
      <c r="Q112" s="288">
        <v>0</v>
      </c>
      <c r="R112" s="288" t="s">
        <v>60</v>
      </c>
      <c r="S112" s="288">
        <v>13</v>
      </c>
      <c r="V112" t="s">
        <v>61</v>
      </c>
      <c r="W112" t="s">
        <v>26</v>
      </c>
    </row>
    <row r="113" spans="1:23" x14ac:dyDescent="0.25">
      <c r="A113" t="s">
        <v>182</v>
      </c>
      <c r="B113" t="s">
        <v>176</v>
      </c>
      <c r="C113" s="285">
        <v>2</v>
      </c>
      <c r="D113">
        <v>423634.89531672798</v>
      </c>
      <c r="E113">
        <v>24248103.483039301</v>
      </c>
      <c r="F113">
        <v>9925103.7211520895</v>
      </c>
      <c r="G113">
        <v>10348738.6164688</v>
      </c>
      <c r="H113">
        <v>1.7470846559733799E-2</v>
      </c>
      <c r="I113">
        <v>1.7470846559733799</v>
      </c>
      <c r="J113">
        <v>4.0935896732628103E-2</v>
      </c>
      <c r="K113" s="286">
        <v>4.0935896732628096</v>
      </c>
      <c r="L113" s="288" t="s">
        <v>28</v>
      </c>
      <c r="M113" s="288">
        <v>5000</v>
      </c>
      <c r="N113" s="288">
        <v>4</v>
      </c>
      <c r="O113" s="288">
        <v>6.0097400000000007</v>
      </c>
      <c r="P113" s="288">
        <v>10.904669372579463</v>
      </c>
      <c r="Q113" s="288">
        <v>2.9030899869919438</v>
      </c>
      <c r="R113" s="288" t="s">
        <v>60</v>
      </c>
      <c r="S113" s="288">
        <v>2</v>
      </c>
      <c r="V113" t="s">
        <v>61</v>
      </c>
      <c r="W113" t="s">
        <v>31</v>
      </c>
    </row>
    <row r="114" spans="1:23" x14ac:dyDescent="0.25">
      <c r="A114" t="s">
        <v>183</v>
      </c>
      <c r="B114" t="s">
        <v>176</v>
      </c>
      <c r="C114" s="285">
        <v>0</v>
      </c>
      <c r="D114">
        <v>0</v>
      </c>
      <c r="E114">
        <v>24503391.881874301</v>
      </c>
      <c r="F114">
        <v>12221653.417451501</v>
      </c>
      <c r="G114">
        <v>12221703.1211861</v>
      </c>
      <c r="H114" s="1">
        <v>0</v>
      </c>
      <c r="I114">
        <v>0</v>
      </c>
      <c r="J114" s="1">
        <v>0</v>
      </c>
      <c r="K114" s="286">
        <v>0</v>
      </c>
      <c r="L114" s="288" t="s">
        <v>28</v>
      </c>
      <c r="M114" s="288">
        <v>5000</v>
      </c>
      <c r="N114" s="288">
        <v>10</v>
      </c>
      <c r="O114" s="288">
        <v>0</v>
      </c>
      <c r="P114" s="288">
        <v>7.4266930055072624</v>
      </c>
      <c r="Q114" s="288">
        <v>0</v>
      </c>
      <c r="R114" s="288" t="s">
        <v>60</v>
      </c>
      <c r="S114" s="288">
        <v>15</v>
      </c>
      <c r="V114" t="s">
        <v>25</v>
      </c>
      <c r="W114" t="s">
        <v>26</v>
      </c>
    </row>
    <row r="115" spans="1:23" x14ac:dyDescent="0.25">
      <c r="A115" t="s">
        <v>184</v>
      </c>
      <c r="B115" t="s">
        <v>185</v>
      </c>
      <c r="C115" s="285">
        <v>0</v>
      </c>
      <c r="D115">
        <v>0</v>
      </c>
      <c r="E115">
        <v>19233548.178208701</v>
      </c>
      <c r="F115">
        <v>9953905.5105228908</v>
      </c>
      <c r="G115">
        <v>9954414.6036360301</v>
      </c>
      <c r="H115" s="1">
        <v>0</v>
      </c>
      <c r="I115">
        <v>0</v>
      </c>
      <c r="J115" s="1">
        <v>0</v>
      </c>
      <c r="K115" s="286">
        <v>0</v>
      </c>
      <c r="L115" s="288" t="s">
        <v>28</v>
      </c>
      <c r="M115" s="288">
        <v>5000</v>
      </c>
      <c r="N115" s="288">
        <v>2</v>
      </c>
      <c r="O115" s="288">
        <v>4.9644179467085703</v>
      </c>
      <c r="P115" s="288">
        <v>0</v>
      </c>
      <c r="Q115" s="288">
        <v>0</v>
      </c>
      <c r="R115" s="288" t="s">
        <v>60</v>
      </c>
      <c r="S115" s="288">
        <v>15</v>
      </c>
      <c r="V115" t="s">
        <v>25</v>
      </c>
      <c r="W115" t="s">
        <v>26</v>
      </c>
    </row>
    <row r="116" spans="1:23" x14ac:dyDescent="0.25">
      <c r="A116" t="s">
        <v>186</v>
      </c>
      <c r="B116" t="s">
        <v>185</v>
      </c>
      <c r="C116" s="285">
        <v>0</v>
      </c>
      <c r="D116">
        <v>0</v>
      </c>
      <c r="E116">
        <v>17044242.6316211</v>
      </c>
      <c r="F116">
        <v>7959037.7887694295</v>
      </c>
      <c r="G116">
        <v>7959354.4121139897</v>
      </c>
      <c r="H116" s="1">
        <v>0</v>
      </c>
      <c r="I116">
        <v>0</v>
      </c>
      <c r="J116" s="1">
        <v>0</v>
      </c>
      <c r="K116" s="286">
        <v>0</v>
      </c>
      <c r="L116" s="288" t="s">
        <v>28</v>
      </c>
      <c r="M116" s="288">
        <v>5000</v>
      </c>
      <c r="N116" s="288">
        <v>2</v>
      </c>
      <c r="O116" s="288">
        <v>9.206664320809244</v>
      </c>
      <c r="P116" s="288">
        <v>7.0569048513364727</v>
      </c>
      <c r="Q116" s="288">
        <v>0</v>
      </c>
      <c r="R116" s="288" t="s">
        <v>60</v>
      </c>
      <c r="S116" s="288">
        <v>15</v>
      </c>
      <c r="V116" t="s">
        <v>25</v>
      </c>
      <c r="W116" t="s">
        <v>26</v>
      </c>
    </row>
    <row r="117" spans="1:23" x14ac:dyDescent="0.25">
      <c r="A117" t="s">
        <v>187</v>
      </c>
      <c r="B117" t="s">
        <v>185</v>
      </c>
      <c r="C117" s="285">
        <v>0</v>
      </c>
      <c r="D117">
        <v>0</v>
      </c>
      <c r="E117">
        <v>21850102.171970598</v>
      </c>
      <c r="F117">
        <v>11641794.828568101</v>
      </c>
      <c r="G117">
        <v>11643021.7704091</v>
      </c>
      <c r="H117" s="1">
        <v>0</v>
      </c>
      <c r="I117">
        <v>0</v>
      </c>
      <c r="J117" s="1">
        <v>0</v>
      </c>
      <c r="K117" s="286">
        <v>0</v>
      </c>
      <c r="L117" s="288" t="s">
        <v>28</v>
      </c>
      <c r="M117" s="288">
        <v>5000</v>
      </c>
      <c r="N117" s="288">
        <v>5</v>
      </c>
      <c r="O117" s="288">
        <v>7.7734924290121645</v>
      </c>
      <c r="P117" s="288">
        <v>6.9694159123539814</v>
      </c>
      <c r="Q117" s="288">
        <v>0</v>
      </c>
      <c r="R117" s="288" t="s">
        <v>60</v>
      </c>
      <c r="S117" s="288">
        <v>15</v>
      </c>
      <c r="V117" t="s">
        <v>25</v>
      </c>
      <c r="W117" t="s">
        <v>26</v>
      </c>
    </row>
    <row r="118" spans="1:23" x14ac:dyDescent="0.25">
      <c r="A118" t="s">
        <v>188</v>
      </c>
      <c r="B118" t="s">
        <v>185</v>
      </c>
      <c r="C118" s="285">
        <v>0</v>
      </c>
      <c r="D118">
        <v>0</v>
      </c>
      <c r="E118">
        <v>27735351.527269401</v>
      </c>
      <c r="F118">
        <v>11381990.348269001</v>
      </c>
      <c r="G118">
        <v>11382232.3102543</v>
      </c>
      <c r="H118" s="1">
        <v>0</v>
      </c>
      <c r="I118">
        <v>0</v>
      </c>
      <c r="J118" s="1">
        <v>0</v>
      </c>
      <c r="K118" s="286">
        <v>0</v>
      </c>
      <c r="L118" s="288" t="s">
        <v>28</v>
      </c>
      <c r="M118" s="288">
        <v>5000</v>
      </c>
      <c r="N118" s="288">
        <v>6</v>
      </c>
      <c r="O118" s="288">
        <v>0</v>
      </c>
      <c r="P118" s="288">
        <v>7.3502480183341632</v>
      </c>
      <c r="Q118" s="288">
        <v>0</v>
      </c>
      <c r="R118" s="288" t="s">
        <v>60</v>
      </c>
      <c r="S118" s="288">
        <v>15</v>
      </c>
      <c r="V118" t="s">
        <v>25</v>
      </c>
      <c r="W118" t="s">
        <v>26</v>
      </c>
    </row>
    <row r="119" spans="1:23" x14ac:dyDescent="0.25">
      <c r="A119" t="s">
        <v>189</v>
      </c>
      <c r="B119" t="s">
        <v>185</v>
      </c>
      <c r="C119" s="285">
        <v>0</v>
      </c>
      <c r="D119">
        <v>0</v>
      </c>
      <c r="E119">
        <v>24356708.222118799</v>
      </c>
      <c r="F119">
        <v>10306681.9474968</v>
      </c>
      <c r="G119">
        <v>10307121.455362201</v>
      </c>
      <c r="H119" s="1">
        <v>0</v>
      </c>
      <c r="I119">
        <v>0</v>
      </c>
      <c r="J119" s="1">
        <v>0</v>
      </c>
      <c r="K119" s="286">
        <v>0</v>
      </c>
      <c r="L119" s="288" t="s">
        <v>28</v>
      </c>
      <c r="M119" s="288">
        <v>5000</v>
      </c>
      <c r="N119" s="288">
        <v>7</v>
      </c>
      <c r="O119" s="288">
        <v>0</v>
      </c>
      <c r="P119" s="288">
        <v>7.2873537727147468</v>
      </c>
      <c r="Q119" s="288">
        <v>0</v>
      </c>
      <c r="R119" s="288" t="s">
        <v>60</v>
      </c>
      <c r="S119" s="288">
        <v>15</v>
      </c>
      <c r="V119" t="s">
        <v>25</v>
      </c>
      <c r="W119" t="s">
        <v>26</v>
      </c>
    </row>
    <row r="120" spans="1:23" x14ac:dyDescent="0.25">
      <c r="A120" t="s">
        <v>190</v>
      </c>
      <c r="B120" t="s">
        <v>185</v>
      </c>
      <c r="C120" s="285">
        <v>0</v>
      </c>
      <c r="D120">
        <v>0</v>
      </c>
      <c r="E120">
        <v>26776022.773972701</v>
      </c>
      <c r="F120">
        <v>12272144.6921064</v>
      </c>
      <c r="G120">
        <v>12272834.833671801</v>
      </c>
      <c r="H120" s="1">
        <v>0</v>
      </c>
      <c r="I120">
        <v>0</v>
      </c>
      <c r="J120" s="1">
        <v>0</v>
      </c>
      <c r="K120" s="286">
        <v>0</v>
      </c>
      <c r="L120" s="288" t="s">
        <v>28</v>
      </c>
      <c r="M120" s="288">
        <v>5000</v>
      </c>
      <c r="N120" s="288">
        <v>6</v>
      </c>
      <c r="O120" s="288">
        <v>0</v>
      </c>
      <c r="P120" s="288">
        <v>7.4712917110589387</v>
      </c>
      <c r="Q120" s="288">
        <v>0</v>
      </c>
      <c r="R120" s="288" t="s">
        <v>60</v>
      </c>
      <c r="S120" s="288">
        <v>15</v>
      </c>
      <c r="V120" t="s">
        <v>25</v>
      </c>
      <c r="W120" t="s">
        <v>26</v>
      </c>
    </row>
    <row r="121" spans="1:23" x14ac:dyDescent="0.25">
      <c r="A121" t="s">
        <v>191</v>
      </c>
      <c r="B121" t="s">
        <v>185</v>
      </c>
      <c r="C121" s="285">
        <v>0</v>
      </c>
      <c r="D121">
        <v>0</v>
      </c>
      <c r="E121">
        <v>25951177.9465001</v>
      </c>
      <c r="F121">
        <v>13961279.4617576</v>
      </c>
      <c r="G121">
        <v>13970803.753526499</v>
      </c>
      <c r="H121" s="1">
        <v>0</v>
      </c>
      <c r="I121">
        <v>0</v>
      </c>
      <c r="J121" s="1">
        <v>0</v>
      </c>
      <c r="K121" s="286">
        <v>0</v>
      </c>
      <c r="L121" s="288" t="s">
        <v>28</v>
      </c>
      <c r="M121" s="288">
        <v>5000</v>
      </c>
      <c r="N121" s="288">
        <v>8</v>
      </c>
      <c r="O121" s="288">
        <v>7.0209413909424168</v>
      </c>
      <c r="P121" s="288">
        <v>7.480006942957151</v>
      </c>
      <c r="Q121" s="288">
        <v>0</v>
      </c>
      <c r="R121" s="288" t="s">
        <v>60</v>
      </c>
      <c r="S121" s="288">
        <v>5</v>
      </c>
      <c r="V121" t="s">
        <v>25</v>
      </c>
      <c r="W121" t="s">
        <v>26</v>
      </c>
    </row>
    <row r="122" spans="1:23" x14ac:dyDescent="0.25">
      <c r="A122" t="s">
        <v>192</v>
      </c>
      <c r="B122" t="s">
        <v>185</v>
      </c>
      <c r="C122" s="285">
        <v>0</v>
      </c>
      <c r="D122">
        <v>0</v>
      </c>
      <c r="E122">
        <v>16912110.026899599</v>
      </c>
      <c r="F122">
        <v>8090783.6794097498</v>
      </c>
      <c r="G122">
        <v>8091178.7711837497</v>
      </c>
      <c r="H122" s="1">
        <v>0</v>
      </c>
      <c r="I122">
        <v>0</v>
      </c>
      <c r="J122" s="1">
        <v>0</v>
      </c>
      <c r="K122" s="286">
        <v>0</v>
      </c>
      <c r="L122" s="288" t="s">
        <v>28</v>
      </c>
      <c r="M122" s="288">
        <v>5000</v>
      </c>
      <c r="N122" s="288">
        <v>3</v>
      </c>
      <c r="O122" s="288">
        <v>0</v>
      </c>
      <c r="P122" s="288">
        <v>8.1920095926536707</v>
      </c>
      <c r="Q122" s="288">
        <v>0</v>
      </c>
      <c r="R122" s="288" t="s">
        <v>60</v>
      </c>
      <c r="S122" s="288">
        <v>15</v>
      </c>
      <c r="V122" t="s">
        <v>25</v>
      </c>
      <c r="W122" t="s">
        <v>26</v>
      </c>
    </row>
    <row r="123" spans="1:23" x14ac:dyDescent="0.25">
      <c r="A123" t="s">
        <v>193</v>
      </c>
      <c r="B123" t="s">
        <v>185</v>
      </c>
      <c r="C123" s="285">
        <v>0</v>
      </c>
      <c r="D123">
        <v>0</v>
      </c>
      <c r="E123">
        <v>28892776.244235199</v>
      </c>
      <c r="F123">
        <v>13560208.8563594</v>
      </c>
      <c r="G123">
        <v>13560791.7648123</v>
      </c>
      <c r="H123" s="1">
        <v>0</v>
      </c>
      <c r="I123">
        <v>0</v>
      </c>
      <c r="J123" s="1">
        <v>0</v>
      </c>
      <c r="K123" s="286">
        <v>0</v>
      </c>
      <c r="L123" s="288" t="s">
        <v>28</v>
      </c>
      <c r="M123" s="288">
        <v>5000</v>
      </c>
      <c r="N123" s="288">
        <v>3</v>
      </c>
      <c r="O123" s="288">
        <v>0</v>
      </c>
      <c r="P123" s="288">
        <v>6.215373152783422</v>
      </c>
      <c r="Q123" s="288">
        <v>0</v>
      </c>
      <c r="R123" s="288" t="s">
        <v>60</v>
      </c>
      <c r="S123" s="288">
        <v>15</v>
      </c>
      <c r="V123" t="s">
        <v>25</v>
      </c>
      <c r="W123" t="s">
        <v>26</v>
      </c>
    </row>
    <row r="124" spans="1:23" x14ac:dyDescent="0.25">
      <c r="A124" t="s">
        <v>194</v>
      </c>
      <c r="B124" t="s">
        <v>185</v>
      </c>
      <c r="C124" s="285">
        <v>0</v>
      </c>
      <c r="D124">
        <v>0</v>
      </c>
      <c r="E124">
        <v>18948058.2346914</v>
      </c>
      <c r="F124">
        <v>8800511.0962656606</v>
      </c>
      <c r="G124">
        <v>8800596.9673924092</v>
      </c>
      <c r="H124" s="1">
        <v>0</v>
      </c>
      <c r="I124">
        <v>0</v>
      </c>
      <c r="J124" s="1">
        <v>0</v>
      </c>
      <c r="K124" s="286">
        <v>0</v>
      </c>
      <c r="L124" s="288" t="s">
        <v>28</v>
      </c>
      <c r="M124" s="288">
        <v>5000</v>
      </c>
      <c r="N124" s="288">
        <v>12</v>
      </c>
      <c r="O124" s="288">
        <v>0</v>
      </c>
      <c r="P124" s="288">
        <v>6.3096301674258983</v>
      </c>
      <c r="Q124" s="288">
        <v>0</v>
      </c>
      <c r="R124" s="288" t="s">
        <v>60</v>
      </c>
      <c r="S124" s="288">
        <v>15</v>
      </c>
      <c r="V124" t="s">
        <v>25</v>
      </c>
      <c r="W124" t="s">
        <v>26</v>
      </c>
    </row>
    <row r="125" spans="1:23" x14ac:dyDescent="0.25">
      <c r="A125" t="s">
        <v>195</v>
      </c>
      <c r="B125" t="s">
        <v>185</v>
      </c>
      <c r="C125" s="285">
        <v>0</v>
      </c>
      <c r="D125">
        <v>0</v>
      </c>
      <c r="E125">
        <v>21923214.8679475</v>
      </c>
      <c r="F125">
        <v>10091434.5445391</v>
      </c>
      <c r="G125">
        <v>10091527.1838273</v>
      </c>
      <c r="H125" s="1">
        <v>0</v>
      </c>
      <c r="I125">
        <v>0</v>
      </c>
      <c r="J125" s="1">
        <v>0</v>
      </c>
      <c r="K125" s="286">
        <v>0</v>
      </c>
      <c r="L125" s="288" t="s">
        <v>28</v>
      </c>
      <c r="M125" s="288">
        <v>5000</v>
      </c>
      <c r="N125" s="288">
        <v>5</v>
      </c>
      <c r="O125" s="288">
        <v>0</v>
      </c>
      <c r="P125" s="288">
        <v>8.2513948500401035</v>
      </c>
      <c r="Q125" s="288">
        <v>0</v>
      </c>
      <c r="R125" s="288" t="s">
        <v>60</v>
      </c>
      <c r="S125" s="288">
        <v>15</v>
      </c>
      <c r="V125" t="s">
        <v>25</v>
      </c>
      <c r="W125" t="s">
        <v>26</v>
      </c>
    </row>
    <row r="126" spans="1:23" x14ac:dyDescent="0.25">
      <c r="A126" t="s">
        <v>196</v>
      </c>
      <c r="B126" t="s">
        <v>185</v>
      </c>
      <c r="C126" s="285">
        <v>0</v>
      </c>
      <c r="D126">
        <v>0</v>
      </c>
      <c r="E126">
        <v>17571856.974357702</v>
      </c>
      <c r="F126">
        <v>8156698.6099950904</v>
      </c>
      <c r="G126">
        <v>8156875.6398782702</v>
      </c>
      <c r="H126" s="1">
        <v>0</v>
      </c>
      <c r="I126">
        <v>0</v>
      </c>
      <c r="J126" s="1">
        <v>0</v>
      </c>
      <c r="K126" s="286">
        <v>0</v>
      </c>
      <c r="L126" s="288" t="s">
        <v>28</v>
      </c>
      <c r="M126" s="288">
        <v>5000</v>
      </c>
      <c r="N126" s="288">
        <v>0</v>
      </c>
      <c r="O126" s="288">
        <v>0</v>
      </c>
      <c r="P126" s="288">
        <v>0</v>
      </c>
      <c r="Q126" s="288">
        <v>0</v>
      </c>
      <c r="R126" s="288" t="s">
        <v>60</v>
      </c>
      <c r="S126" s="288">
        <v>15</v>
      </c>
      <c r="V126" t="s">
        <v>25</v>
      </c>
      <c r="W126" t="s">
        <v>26</v>
      </c>
    </row>
    <row r="127" spans="1:23" x14ac:dyDescent="0.25">
      <c r="A127" t="s">
        <v>197</v>
      </c>
      <c r="B127" t="s">
        <v>185</v>
      </c>
      <c r="C127" s="285">
        <v>0</v>
      </c>
      <c r="D127">
        <v>0</v>
      </c>
      <c r="E127">
        <v>21810809.272007</v>
      </c>
      <c r="F127">
        <v>9876835.8774711806</v>
      </c>
      <c r="G127">
        <v>9877136.4264342301</v>
      </c>
      <c r="H127" s="1">
        <v>0</v>
      </c>
      <c r="I127">
        <v>0</v>
      </c>
      <c r="J127" s="1">
        <v>0</v>
      </c>
      <c r="K127" s="286">
        <v>0</v>
      </c>
      <c r="L127" s="288" t="s">
        <v>28</v>
      </c>
      <c r="M127" s="288">
        <v>5000</v>
      </c>
      <c r="N127" s="288">
        <v>3</v>
      </c>
      <c r="O127" s="288">
        <v>0</v>
      </c>
      <c r="P127" s="288">
        <v>6.6394864892685863</v>
      </c>
      <c r="Q127" s="288">
        <v>0</v>
      </c>
      <c r="R127" s="288" t="s">
        <v>60</v>
      </c>
      <c r="S127" s="288">
        <v>15</v>
      </c>
      <c r="V127" t="s">
        <v>25</v>
      </c>
      <c r="W127" t="s">
        <v>26</v>
      </c>
    </row>
    <row r="128" spans="1:23" x14ac:dyDescent="0.25">
      <c r="A128" t="s">
        <v>198</v>
      </c>
      <c r="B128" t="s">
        <v>185</v>
      </c>
      <c r="C128" s="285">
        <v>0</v>
      </c>
      <c r="D128">
        <v>0</v>
      </c>
      <c r="E128">
        <v>26590341.801235799</v>
      </c>
      <c r="F128">
        <v>11776052.099256201</v>
      </c>
      <c r="G128">
        <v>11787496.6475666</v>
      </c>
      <c r="H128" s="1">
        <v>0</v>
      </c>
      <c r="I128">
        <v>0</v>
      </c>
      <c r="J128" s="1">
        <v>0</v>
      </c>
      <c r="K128" s="286">
        <v>0</v>
      </c>
      <c r="L128" s="288" t="s">
        <v>28</v>
      </c>
      <c r="M128" s="288">
        <v>5000</v>
      </c>
      <c r="N128" s="288">
        <v>11</v>
      </c>
      <c r="O128" s="288">
        <v>0</v>
      </c>
      <c r="P128" s="288">
        <v>7.5587085705331658</v>
      </c>
      <c r="Q128" s="288">
        <v>0</v>
      </c>
      <c r="R128" s="288" t="s">
        <v>60</v>
      </c>
      <c r="S128" s="288">
        <v>5</v>
      </c>
      <c r="V128" t="s">
        <v>25</v>
      </c>
      <c r="W128" t="s">
        <v>26</v>
      </c>
    </row>
    <row r="129" spans="1:23" x14ac:dyDescent="0.25">
      <c r="A129" t="s">
        <v>199</v>
      </c>
      <c r="B129" t="s">
        <v>185</v>
      </c>
      <c r="C129" s="285">
        <v>0</v>
      </c>
      <c r="D129">
        <v>0</v>
      </c>
      <c r="E129">
        <v>16906903.919728</v>
      </c>
      <c r="F129">
        <v>8584777.9834487494</v>
      </c>
      <c r="G129">
        <v>8585208.6080772504</v>
      </c>
      <c r="H129" s="1">
        <v>0</v>
      </c>
      <c r="I129">
        <v>0</v>
      </c>
      <c r="J129" s="1">
        <v>0</v>
      </c>
      <c r="K129" s="286">
        <v>0</v>
      </c>
      <c r="L129" s="288" t="s">
        <v>28</v>
      </c>
      <c r="M129" s="288">
        <v>5000</v>
      </c>
      <c r="N129" s="288">
        <v>0</v>
      </c>
      <c r="O129" s="288">
        <v>0</v>
      </c>
      <c r="P129" s="288">
        <v>0</v>
      </c>
      <c r="Q129" s="288">
        <v>0</v>
      </c>
      <c r="R129" s="288" t="s">
        <v>29</v>
      </c>
      <c r="S129" s="288">
        <v>5</v>
      </c>
      <c r="V129" t="s">
        <v>25</v>
      </c>
      <c r="W129" t="s">
        <v>26</v>
      </c>
    </row>
    <row r="130" spans="1:23" x14ac:dyDescent="0.25">
      <c r="A130" s="3" t="s">
        <v>200</v>
      </c>
      <c r="B130" s="3" t="s">
        <v>185</v>
      </c>
      <c r="C130" s="294">
        <v>0</v>
      </c>
      <c r="D130" s="3">
        <v>0</v>
      </c>
      <c r="E130" s="3">
        <v>23246768.719020002</v>
      </c>
      <c r="F130" s="3">
        <v>9923577.4322068505</v>
      </c>
      <c r="G130" s="3">
        <v>9927682.53744727</v>
      </c>
      <c r="H130" s="295">
        <v>0</v>
      </c>
      <c r="I130" s="3">
        <v>0</v>
      </c>
      <c r="J130" s="295">
        <v>0</v>
      </c>
      <c r="K130" s="296">
        <v>0</v>
      </c>
      <c r="L130" s="293" t="s">
        <v>110</v>
      </c>
      <c r="M130" s="293" t="s">
        <v>110</v>
      </c>
      <c r="N130" s="293"/>
      <c r="O130" s="293"/>
      <c r="P130" s="293"/>
      <c r="Q130" s="293"/>
      <c r="R130" s="293"/>
      <c r="S130" s="293"/>
      <c r="V130" t="s">
        <v>25</v>
      </c>
      <c r="W130" t="s">
        <v>26</v>
      </c>
    </row>
    <row r="131" spans="1:23" x14ac:dyDescent="0.25">
      <c r="A131" t="s">
        <v>201</v>
      </c>
      <c r="B131" t="s">
        <v>185</v>
      </c>
      <c r="C131" s="285">
        <v>0</v>
      </c>
      <c r="D131">
        <v>0</v>
      </c>
      <c r="E131">
        <v>21382303.366879299</v>
      </c>
      <c r="F131">
        <v>10429822.369743001</v>
      </c>
      <c r="G131">
        <v>10430482.054576</v>
      </c>
      <c r="H131" s="1">
        <v>0</v>
      </c>
      <c r="I131">
        <v>0</v>
      </c>
      <c r="J131" s="1">
        <v>0</v>
      </c>
      <c r="K131" s="286">
        <v>0</v>
      </c>
      <c r="L131" s="288" t="s">
        <v>28</v>
      </c>
      <c r="M131" s="288">
        <v>5000</v>
      </c>
      <c r="N131" s="288">
        <v>3</v>
      </c>
      <c r="O131" s="288">
        <v>8.3463529744506388</v>
      </c>
      <c r="P131" s="288">
        <v>9.3369308378540605</v>
      </c>
      <c r="Q131" s="288">
        <v>2.3117538610557542</v>
      </c>
      <c r="R131" s="288" t="s">
        <v>29</v>
      </c>
      <c r="S131" s="288">
        <v>15</v>
      </c>
      <c r="V131" t="s">
        <v>25</v>
      </c>
      <c r="W131" t="s">
        <v>26</v>
      </c>
    </row>
    <row r="132" spans="1:23" x14ac:dyDescent="0.25">
      <c r="A132" t="s">
        <v>202</v>
      </c>
      <c r="B132" t="s">
        <v>185</v>
      </c>
      <c r="C132" s="285">
        <v>4</v>
      </c>
      <c r="D132">
        <v>8115197.7981416499</v>
      </c>
      <c r="E132">
        <v>28268709.316648699</v>
      </c>
      <c r="F132">
        <v>10575725.0133493</v>
      </c>
      <c r="G132">
        <v>18690922.811491001</v>
      </c>
      <c r="H132">
        <v>0.28707351677220799</v>
      </c>
      <c r="I132">
        <v>28.7073516772208</v>
      </c>
      <c r="J132">
        <v>0.43417855180229498</v>
      </c>
      <c r="K132" s="286">
        <v>43.417855180229502</v>
      </c>
      <c r="L132" s="288" t="s">
        <v>28</v>
      </c>
      <c r="M132" s="288">
        <v>5000</v>
      </c>
      <c r="N132" s="288">
        <v>23</v>
      </c>
      <c r="O132" s="288">
        <v>7.9928779687751943</v>
      </c>
      <c r="P132" s="288">
        <v>10.047530601262462</v>
      </c>
      <c r="Q132" s="288">
        <v>3.9030899869919438</v>
      </c>
      <c r="R132" s="288" t="s">
        <v>29</v>
      </c>
      <c r="S132" s="288">
        <v>15</v>
      </c>
      <c r="V132" t="s">
        <v>25</v>
      </c>
      <c r="W132" t="s">
        <v>31</v>
      </c>
    </row>
    <row r="133" spans="1:23" x14ac:dyDescent="0.25">
      <c r="A133" t="s">
        <v>203</v>
      </c>
      <c r="B133" t="s">
        <v>185</v>
      </c>
      <c r="C133" s="285">
        <v>0</v>
      </c>
      <c r="D133">
        <v>0</v>
      </c>
      <c r="E133">
        <v>8013303.38242245</v>
      </c>
      <c r="F133">
        <v>4076825.0084329299</v>
      </c>
      <c r="G133">
        <v>4076840.87132659</v>
      </c>
      <c r="H133" s="1">
        <v>0</v>
      </c>
      <c r="I133">
        <v>0</v>
      </c>
      <c r="J133" s="1">
        <v>0</v>
      </c>
      <c r="K133" s="286">
        <v>0</v>
      </c>
      <c r="L133" s="288" t="s">
        <v>28</v>
      </c>
      <c r="M133" s="288">
        <v>5000</v>
      </c>
      <c r="N133" s="288">
        <v>0</v>
      </c>
      <c r="O133" s="288">
        <v>6.1569550904952575</v>
      </c>
      <c r="P133" s="288">
        <v>9.4209443844390606</v>
      </c>
      <c r="Q133" s="288">
        <v>3.3324384599156054</v>
      </c>
      <c r="R133" s="288" t="s">
        <v>29</v>
      </c>
      <c r="S133" s="288">
        <v>15</v>
      </c>
      <c r="V133" t="s">
        <v>25</v>
      </c>
      <c r="W133" t="s">
        <v>26</v>
      </c>
    </row>
    <row r="134" spans="1:23" x14ac:dyDescent="0.25">
      <c r="A134" t="s">
        <v>204</v>
      </c>
      <c r="B134" t="s">
        <v>205</v>
      </c>
      <c r="C134" s="285">
        <v>4</v>
      </c>
      <c r="D134">
        <v>4757569.5868720999</v>
      </c>
      <c r="E134">
        <v>27854157.708561499</v>
      </c>
      <c r="F134">
        <v>12181630.5208703</v>
      </c>
      <c r="G134">
        <v>16939200.107742399</v>
      </c>
      <c r="H134">
        <v>0.170802852365906</v>
      </c>
      <c r="I134">
        <v>17.080285236590601</v>
      </c>
      <c r="J134">
        <v>0.28086152572797901</v>
      </c>
      <c r="K134" s="286">
        <v>28.0861525727979</v>
      </c>
      <c r="L134" s="288" t="s">
        <v>28</v>
      </c>
      <c r="M134" s="288">
        <v>5000</v>
      </c>
      <c r="N134" s="288">
        <v>13</v>
      </c>
      <c r="O134" s="288">
        <v>7.7469867838377056</v>
      </c>
      <c r="P134" s="288">
        <v>10.301029995663981</v>
      </c>
      <c r="Q134" s="288">
        <v>4.4913616938342731</v>
      </c>
      <c r="R134" s="288" t="s">
        <v>29</v>
      </c>
      <c r="S134" s="288">
        <v>6</v>
      </c>
      <c r="V134" t="s">
        <v>25</v>
      </c>
      <c r="W134" t="s">
        <v>31</v>
      </c>
    </row>
    <row r="135" spans="1:23" x14ac:dyDescent="0.25">
      <c r="A135" t="s">
        <v>206</v>
      </c>
      <c r="B135" t="s">
        <v>205</v>
      </c>
      <c r="C135" s="285">
        <v>3</v>
      </c>
      <c r="D135">
        <v>3589673.6545118298</v>
      </c>
      <c r="E135">
        <v>28052380.140640602</v>
      </c>
      <c r="F135">
        <v>12620909.7456076</v>
      </c>
      <c r="G135">
        <v>16210583.4001195</v>
      </c>
      <c r="H135">
        <v>0.12796324720095001</v>
      </c>
      <c r="I135">
        <v>12.796324720095001</v>
      </c>
      <c r="J135">
        <v>0.22144012747162201</v>
      </c>
      <c r="K135" s="286">
        <v>22.144012747162201</v>
      </c>
      <c r="L135" s="288" t="s">
        <v>28</v>
      </c>
      <c r="M135" s="288">
        <v>5000</v>
      </c>
      <c r="N135" s="288">
        <v>23</v>
      </c>
      <c r="O135" s="288">
        <v>7.9003284501425606</v>
      </c>
      <c r="P135" s="288">
        <v>10.465382851448418</v>
      </c>
      <c r="Q135" s="288">
        <v>4.4913616938342731</v>
      </c>
      <c r="R135" s="288" t="s">
        <v>29</v>
      </c>
      <c r="S135" s="288">
        <v>6</v>
      </c>
      <c r="V135" t="s">
        <v>25</v>
      </c>
      <c r="W135" t="s">
        <v>31</v>
      </c>
    </row>
    <row r="136" spans="1:23" x14ac:dyDescent="0.25">
      <c r="A136" t="s">
        <v>207</v>
      </c>
      <c r="B136" t="s">
        <v>205</v>
      </c>
      <c r="C136" s="285">
        <v>4</v>
      </c>
      <c r="D136">
        <v>6678139.5407820903</v>
      </c>
      <c r="E136">
        <v>37309447.579531103</v>
      </c>
      <c r="F136">
        <v>15070590.311453</v>
      </c>
      <c r="G136">
        <v>21748729.852235001</v>
      </c>
      <c r="H136">
        <v>0.17899325704425301</v>
      </c>
      <c r="I136">
        <v>17.899325704425301</v>
      </c>
      <c r="J136">
        <v>0.307058829924994</v>
      </c>
      <c r="K136" s="286">
        <v>30.705882992499401</v>
      </c>
      <c r="L136" s="288" t="s">
        <v>28</v>
      </c>
      <c r="M136" s="288">
        <v>5000</v>
      </c>
      <c r="N136" s="288">
        <v>28</v>
      </c>
      <c r="O136" s="288">
        <v>7.4909728963389863</v>
      </c>
      <c r="P136" s="288">
        <v>10.131116825332255</v>
      </c>
      <c r="Q136" s="288">
        <v>5.1583624920952493</v>
      </c>
      <c r="R136" s="288" t="s">
        <v>29</v>
      </c>
      <c r="S136" s="288">
        <v>6</v>
      </c>
      <c r="V136" t="s">
        <v>25</v>
      </c>
      <c r="W136" t="s">
        <v>31</v>
      </c>
    </row>
    <row r="137" spans="1:23" x14ac:dyDescent="0.25">
      <c r="A137" t="s">
        <v>208</v>
      </c>
      <c r="B137" t="s">
        <v>205</v>
      </c>
      <c r="C137" s="285">
        <v>4</v>
      </c>
      <c r="D137">
        <v>4301749.2715008697</v>
      </c>
      <c r="E137">
        <v>19946549.549694099</v>
      </c>
      <c r="F137">
        <v>8049592.38486645</v>
      </c>
      <c r="G137">
        <v>12351341.6563673</v>
      </c>
      <c r="H137">
        <v>0.215663830016497</v>
      </c>
      <c r="I137">
        <v>21.566383001649701</v>
      </c>
      <c r="J137">
        <v>0.34828194306188898</v>
      </c>
      <c r="K137" s="286">
        <v>34.828194306188898</v>
      </c>
      <c r="L137" s="288" t="s">
        <v>28</v>
      </c>
      <c r="M137" s="288">
        <v>5000</v>
      </c>
      <c r="N137" s="288">
        <v>15</v>
      </c>
      <c r="O137" s="288">
        <v>7.1416203846905466</v>
      </c>
      <c r="P137" s="288">
        <v>10.482873583608754</v>
      </c>
      <c r="Q137" s="288">
        <v>4.1583624920952493</v>
      </c>
      <c r="R137" s="288" t="s">
        <v>29</v>
      </c>
      <c r="S137" s="288">
        <v>6</v>
      </c>
      <c r="V137" t="s">
        <v>25</v>
      </c>
      <c r="W137" t="s">
        <v>31</v>
      </c>
    </row>
    <row r="138" spans="1:23" x14ac:dyDescent="0.25">
      <c r="A138" t="s">
        <v>209</v>
      </c>
      <c r="B138" t="s">
        <v>205</v>
      </c>
      <c r="C138" s="285">
        <v>4</v>
      </c>
      <c r="D138">
        <v>2014840.9100925501</v>
      </c>
      <c r="E138">
        <v>25385380.3286281</v>
      </c>
      <c r="F138">
        <v>13716542.672180699</v>
      </c>
      <c r="G138">
        <v>15731383.582273301</v>
      </c>
      <c r="H138">
        <v>7.9370128948603305E-2</v>
      </c>
      <c r="I138">
        <v>7.93701289486033</v>
      </c>
      <c r="J138">
        <v>0.12807779427379401</v>
      </c>
      <c r="K138" s="286">
        <v>12.807779427379399</v>
      </c>
      <c r="L138" s="288" t="s">
        <v>81</v>
      </c>
      <c r="M138" s="288">
        <v>5000</v>
      </c>
      <c r="N138" s="288">
        <v>27</v>
      </c>
      <c r="O138" s="288">
        <v>7.361632280720106</v>
      </c>
      <c r="P138" s="288">
        <v>10.803457115648413</v>
      </c>
      <c r="Q138" s="288">
        <v>4.4913616938342731</v>
      </c>
      <c r="R138" s="288" t="s">
        <v>29</v>
      </c>
      <c r="S138" s="288">
        <v>6</v>
      </c>
      <c r="V138" t="s">
        <v>25</v>
      </c>
      <c r="W138" t="s">
        <v>31</v>
      </c>
    </row>
    <row r="139" spans="1:23" x14ac:dyDescent="0.25">
      <c r="A139" t="s">
        <v>210</v>
      </c>
      <c r="B139" t="s">
        <v>205</v>
      </c>
      <c r="C139" s="285">
        <v>3</v>
      </c>
      <c r="D139">
        <v>1057497.4753819001</v>
      </c>
      <c r="E139">
        <v>32722176.158982702</v>
      </c>
      <c r="F139">
        <v>23329808.2533486</v>
      </c>
      <c r="G139">
        <v>24387305.7287305</v>
      </c>
      <c r="H139">
        <v>3.2317455606986102E-2</v>
      </c>
      <c r="I139">
        <v>3.2317455606986099</v>
      </c>
      <c r="J139">
        <v>4.3362620173989598E-2</v>
      </c>
      <c r="K139" s="286">
        <v>4.3362620173989601</v>
      </c>
      <c r="L139" s="288" t="s">
        <v>81</v>
      </c>
      <c r="M139" s="288">
        <v>5000</v>
      </c>
      <c r="N139" s="288">
        <v>43</v>
      </c>
      <c r="O139" s="288">
        <v>7.3309642072010268</v>
      </c>
      <c r="P139" s="288">
        <v>10.267124244508937</v>
      </c>
      <c r="Q139" s="288">
        <v>3.8241258339165491</v>
      </c>
      <c r="R139" s="288" t="s">
        <v>29</v>
      </c>
      <c r="S139" s="288">
        <v>6</v>
      </c>
      <c r="V139" t="s">
        <v>25</v>
      </c>
      <c r="W139" t="s">
        <v>31</v>
      </c>
    </row>
    <row r="140" spans="1:23" x14ac:dyDescent="0.25">
      <c r="A140" t="s">
        <v>211</v>
      </c>
      <c r="B140" t="s">
        <v>205</v>
      </c>
      <c r="C140" s="285">
        <v>1</v>
      </c>
      <c r="D140">
        <v>431.89368028486598</v>
      </c>
      <c r="E140">
        <v>23082543.7834794</v>
      </c>
      <c r="F140">
        <v>11370241.7828416</v>
      </c>
      <c r="G140">
        <v>11370673.676521899</v>
      </c>
      <c r="H140" s="1">
        <v>1.8710835527320801E-5</v>
      </c>
      <c r="I140">
        <v>1.8710835527320801E-3</v>
      </c>
      <c r="J140" s="1">
        <v>3.7983121543329003E-5</v>
      </c>
      <c r="K140" s="286">
        <v>3.7983121543329001E-3</v>
      </c>
      <c r="L140" s="288" t="s">
        <v>28</v>
      </c>
      <c r="M140" s="288">
        <v>5000</v>
      </c>
      <c r="N140" s="288">
        <v>1</v>
      </c>
      <c r="O140" s="288">
        <v>5.3615231028904375</v>
      </c>
      <c r="P140" s="288">
        <v>5.0041704194686183</v>
      </c>
      <c r="Q140" s="288">
        <v>0</v>
      </c>
      <c r="R140" s="288" t="s">
        <v>29</v>
      </c>
      <c r="S140" s="288">
        <v>6</v>
      </c>
      <c r="V140" t="s">
        <v>25</v>
      </c>
      <c r="W140" t="s">
        <v>31</v>
      </c>
    </row>
    <row r="141" spans="1:23" x14ac:dyDescent="0.25">
      <c r="A141" t="s">
        <v>212</v>
      </c>
      <c r="B141" t="s">
        <v>205</v>
      </c>
      <c r="C141" s="285">
        <v>0</v>
      </c>
      <c r="D141">
        <v>0</v>
      </c>
      <c r="E141">
        <v>23842650.4166434</v>
      </c>
      <c r="F141">
        <v>11010963.746039201</v>
      </c>
      <c r="G141">
        <v>11012332.607913099</v>
      </c>
      <c r="H141" s="1">
        <v>0</v>
      </c>
      <c r="I141">
        <v>0</v>
      </c>
      <c r="J141" s="1">
        <v>0</v>
      </c>
      <c r="K141" s="286">
        <v>0</v>
      </c>
      <c r="L141" s="288" t="s">
        <v>28</v>
      </c>
      <c r="M141" s="288">
        <v>5000</v>
      </c>
      <c r="N141" s="288">
        <v>13</v>
      </c>
      <c r="O141" s="288">
        <v>5.0041704194686183</v>
      </c>
      <c r="P141" s="288">
        <v>7.256293295925798</v>
      </c>
      <c r="Q141" s="288">
        <v>0</v>
      </c>
      <c r="R141" s="288" t="s">
        <v>60</v>
      </c>
      <c r="S141" s="288">
        <v>6</v>
      </c>
      <c r="V141" t="s">
        <v>25</v>
      </c>
      <c r="W141" t="s">
        <v>26</v>
      </c>
    </row>
    <row r="142" spans="1:23" x14ac:dyDescent="0.25">
      <c r="A142" t="s">
        <v>213</v>
      </c>
      <c r="B142" t="s">
        <v>205</v>
      </c>
      <c r="C142" s="285">
        <v>0</v>
      </c>
      <c r="D142">
        <v>0</v>
      </c>
      <c r="E142">
        <v>20211424.409383699</v>
      </c>
      <c r="F142">
        <v>10127152.0662481</v>
      </c>
      <c r="G142">
        <v>10127380.491890101</v>
      </c>
      <c r="H142" s="1">
        <v>0</v>
      </c>
      <c r="I142">
        <v>0</v>
      </c>
      <c r="J142" s="1">
        <v>0</v>
      </c>
      <c r="K142" s="286">
        <v>0</v>
      </c>
      <c r="L142" s="288" t="s">
        <v>28</v>
      </c>
      <c r="M142" s="288">
        <v>5000</v>
      </c>
      <c r="N142" s="288">
        <v>12</v>
      </c>
      <c r="O142" s="288">
        <v>4.9668350173375835</v>
      </c>
      <c r="P142" s="288">
        <v>6.0908963598941046</v>
      </c>
      <c r="Q142" s="288">
        <v>0</v>
      </c>
      <c r="R142" s="288" t="s">
        <v>60</v>
      </c>
      <c r="S142" s="288">
        <v>6</v>
      </c>
      <c r="V142" t="s">
        <v>25</v>
      </c>
      <c r="W142" t="s">
        <v>26</v>
      </c>
    </row>
    <row r="143" spans="1:23" x14ac:dyDescent="0.25">
      <c r="A143" t="s">
        <v>214</v>
      </c>
      <c r="B143" t="s">
        <v>205</v>
      </c>
      <c r="C143" s="285">
        <v>0</v>
      </c>
      <c r="D143">
        <v>0</v>
      </c>
      <c r="E143">
        <v>25570488.5696612</v>
      </c>
      <c r="F143">
        <v>12049683.4663231</v>
      </c>
      <c r="G143">
        <v>12050208.210788401</v>
      </c>
      <c r="H143" s="1">
        <v>0</v>
      </c>
      <c r="I143">
        <v>0</v>
      </c>
      <c r="J143" s="1">
        <v>0</v>
      </c>
      <c r="K143" s="286">
        <v>0</v>
      </c>
      <c r="L143" s="288" t="s">
        <v>81</v>
      </c>
      <c r="M143" s="288">
        <v>5000</v>
      </c>
      <c r="N143" s="288">
        <v>14</v>
      </c>
      <c r="O143" s="288">
        <v>2.5387026458467363</v>
      </c>
      <c r="P143" s="288">
        <v>7.0682830289056966</v>
      </c>
      <c r="Q143" s="288">
        <v>0</v>
      </c>
      <c r="R143" s="288" t="s">
        <v>60</v>
      </c>
      <c r="S143" s="288">
        <v>6</v>
      </c>
      <c r="V143" t="s">
        <v>25</v>
      </c>
      <c r="W143" t="s">
        <v>26</v>
      </c>
    </row>
    <row r="144" spans="1:23" x14ac:dyDescent="0.25">
      <c r="A144" t="s">
        <v>215</v>
      </c>
      <c r="B144" t="s">
        <v>205</v>
      </c>
      <c r="C144" s="285">
        <v>0</v>
      </c>
      <c r="D144">
        <v>0</v>
      </c>
      <c r="E144">
        <v>27596548.9844447</v>
      </c>
      <c r="F144">
        <v>14868523.0285281</v>
      </c>
      <c r="G144">
        <v>14874534.641845901</v>
      </c>
      <c r="H144" s="1">
        <v>0</v>
      </c>
      <c r="I144">
        <v>0</v>
      </c>
      <c r="J144" s="1">
        <v>0</v>
      </c>
      <c r="K144" s="286">
        <v>0</v>
      </c>
      <c r="L144" s="288" t="s">
        <v>81</v>
      </c>
      <c r="M144" s="288">
        <v>5000</v>
      </c>
      <c r="N144" s="288">
        <v>8</v>
      </c>
      <c r="O144" s="288">
        <v>5.5068644956672159</v>
      </c>
      <c r="P144" s="288">
        <v>5.6642063346138576</v>
      </c>
      <c r="Q144" s="288">
        <v>0</v>
      </c>
      <c r="R144" s="288" t="s">
        <v>60</v>
      </c>
      <c r="S144" s="288">
        <v>6</v>
      </c>
      <c r="V144" t="s">
        <v>25</v>
      </c>
      <c r="W144" t="s">
        <v>26</v>
      </c>
    </row>
    <row r="145" spans="1:23" x14ac:dyDescent="0.25">
      <c r="A145" t="s">
        <v>216</v>
      </c>
      <c r="B145" t="s">
        <v>205</v>
      </c>
      <c r="C145" s="285">
        <v>0</v>
      </c>
      <c r="D145">
        <v>0</v>
      </c>
      <c r="E145">
        <v>26393280.275338098</v>
      </c>
      <c r="F145">
        <v>10245302.903028199</v>
      </c>
      <c r="G145">
        <v>10245609.797108401</v>
      </c>
      <c r="H145" s="1">
        <v>0</v>
      </c>
      <c r="I145">
        <v>0</v>
      </c>
      <c r="J145" s="1">
        <v>0</v>
      </c>
      <c r="K145" s="286">
        <v>0</v>
      </c>
      <c r="L145" s="288" t="s">
        <v>81</v>
      </c>
      <c r="M145" s="288">
        <v>5000</v>
      </c>
      <c r="N145" s="288">
        <v>22</v>
      </c>
      <c r="O145" s="288">
        <v>4.3894701612883651</v>
      </c>
      <c r="P145" s="288">
        <v>6.7936014045337885</v>
      </c>
      <c r="Q145" s="288">
        <v>0</v>
      </c>
      <c r="R145" s="288" t="s">
        <v>60</v>
      </c>
      <c r="S145" s="288">
        <v>6</v>
      </c>
      <c r="V145" t="s">
        <v>25</v>
      </c>
      <c r="W145" t="s">
        <v>26</v>
      </c>
    </row>
    <row r="146" spans="1:23" x14ac:dyDescent="0.25">
      <c r="A146" t="s">
        <v>217</v>
      </c>
      <c r="B146" t="s">
        <v>205</v>
      </c>
      <c r="C146" s="285">
        <v>1</v>
      </c>
      <c r="D146">
        <v>4201.7625512043496</v>
      </c>
      <c r="E146">
        <v>29456537.160209302</v>
      </c>
      <c r="F146">
        <v>14611070.475041701</v>
      </c>
      <c r="G146">
        <v>14615272.2375929</v>
      </c>
      <c r="H146">
        <v>1.4264278684054501E-4</v>
      </c>
      <c r="I146">
        <v>1.4264278684054501E-2</v>
      </c>
      <c r="J146">
        <v>2.8749122718335E-4</v>
      </c>
      <c r="K146" s="286">
        <v>2.8749122718335001E-2</v>
      </c>
      <c r="L146" s="288" t="s">
        <v>28</v>
      </c>
      <c r="M146" s="288">
        <v>5000</v>
      </c>
      <c r="N146" s="288">
        <v>17</v>
      </c>
      <c r="O146" s="288">
        <v>5.3241877646619988</v>
      </c>
      <c r="P146" s="288">
        <v>7.4589709572884786</v>
      </c>
      <c r="Q146" s="288">
        <v>0</v>
      </c>
      <c r="R146" s="288" t="s">
        <v>60</v>
      </c>
      <c r="S146" s="288">
        <v>6</v>
      </c>
      <c r="V146" t="s">
        <v>25</v>
      </c>
      <c r="W146" t="s">
        <v>31</v>
      </c>
    </row>
    <row r="147" spans="1:23" x14ac:dyDescent="0.25">
      <c r="A147" t="s">
        <v>218</v>
      </c>
      <c r="B147" t="s">
        <v>205</v>
      </c>
      <c r="C147" s="285">
        <v>0</v>
      </c>
      <c r="D147">
        <v>0</v>
      </c>
      <c r="E147">
        <v>21281123.513447698</v>
      </c>
      <c r="F147">
        <v>8774766.2581490297</v>
      </c>
      <c r="G147">
        <v>8775043.9645470697</v>
      </c>
      <c r="H147" s="1">
        <v>0</v>
      </c>
      <c r="I147">
        <v>0</v>
      </c>
      <c r="J147" s="1">
        <v>0</v>
      </c>
      <c r="K147" s="286">
        <v>0</v>
      </c>
      <c r="L147" s="288" t="s">
        <v>28</v>
      </c>
      <c r="M147" s="288">
        <v>5000</v>
      </c>
      <c r="N147" s="288">
        <v>7</v>
      </c>
      <c r="O147" s="288">
        <v>3.9361121360443883</v>
      </c>
      <c r="P147" s="288">
        <v>6.6695946657791874</v>
      </c>
      <c r="Q147" s="288">
        <v>0</v>
      </c>
      <c r="R147" s="288" t="s">
        <v>60</v>
      </c>
      <c r="S147" s="288">
        <v>6</v>
      </c>
      <c r="V147" t="s">
        <v>25</v>
      </c>
      <c r="W147" t="s">
        <v>26</v>
      </c>
    </row>
    <row r="148" spans="1:23" x14ac:dyDescent="0.25">
      <c r="A148" t="s">
        <v>219</v>
      </c>
      <c r="B148" t="s">
        <v>205</v>
      </c>
      <c r="C148" s="285">
        <v>1</v>
      </c>
      <c r="D148">
        <v>1813.02300039844</v>
      </c>
      <c r="E148">
        <v>29740553.07268</v>
      </c>
      <c r="F148">
        <v>13001910.649295401</v>
      </c>
      <c r="G148">
        <v>13003723.672295799</v>
      </c>
      <c r="H148" s="1">
        <v>6.0961307476958399E-5</v>
      </c>
      <c r="I148">
        <v>6.0961307476958401E-3</v>
      </c>
      <c r="J148">
        <v>1.3942337180395799E-4</v>
      </c>
      <c r="K148" s="286">
        <v>1.39423371803958E-2</v>
      </c>
      <c r="L148" s="288" t="s">
        <v>28</v>
      </c>
      <c r="M148" s="288">
        <v>5000</v>
      </c>
      <c r="N148" s="288">
        <v>13</v>
      </c>
      <c r="O148" s="288">
        <v>4.3121324854911602</v>
      </c>
      <c r="P148" s="288">
        <v>6.821602867280534</v>
      </c>
      <c r="Q148" s="288">
        <v>0</v>
      </c>
      <c r="R148" s="288" t="s">
        <v>60</v>
      </c>
      <c r="S148" s="288">
        <v>6</v>
      </c>
      <c r="V148" t="s">
        <v>25</v>
      </c>
      <c r="W148" t="s">
        <v>31</v>
      </c>
    </row>
    <row r="149" spans="1:23" x14ac:dyDescent="0.25">
      <c r="A149" t="s">
        <v>220</v>
      </c>
      <c r="B149" t="s">
        <v>205</v>
      </c>
      <c r="C149" s="285">
        <v>0</v>
      </c>
      <c r="D149">
        <v>0</v>
      </c>
      <c r="E149">
        <v>33478603.439367801</v>
      </c>
      <c r="F149">
        <v>13569976.753198501</v>
      </c>
      <c r="G149">
        <v>13573182.749577399</v>
      </c>
      <c r="H149" s="1">
        <v>0</v>
      </c>
      <c r="I149">
        <v>0</v>
      </c>
      <c r="J149" s="1">
        <v>0</v>
      </c>
      <c r="K149" s="286">
        <v>0</v>
      </c>
      <c r="L149" s="288" t="s">
        <v>28</v>
      </c>
      <c r="M149" s="288">
        <v>5000</v>
      </c>
      <c r="N149" s="288">
        <v>9</v>
      </c>
      <c r="O149" s="288">
        <v>5.7002084083056968</v>
      </c>
      <c r="P149" s="288">
        <v>6.374911771239967</v>
      </c>
      <c r="Q149" s="288">
        <v>0</v>
      </c>
      <c r="R149" s="288" t="s">
        <v>60</v>
      </c>
      <c r="S149" s="288">
        <v>6</v>
      </c>
      <c r="V149" t="s">
        <v>25</v>
      </c>
      <c r="W149" t="s">
        <v>26</v>
      </c>
    </row>
    <row r="150" spans="1:23" x14ac:dyDescent="0.25">
      <c r="A150" t="s">
        <v>221</v>
      </c>
      <c r="B150" t="s">
        <v>205</v>
      </c>
      <c r="C150" s="285">
        <v>1</v>
      </c>
      <c r="D150">
        <v>1295.4696203553599</v>
      </c>
      <c r="E150">
        <v>23010504.7035078</v>
      </c>
      <c r="F150">
        <v>13229458.859121</v>
      </c>
      <c r="G150">
        <v>13230754.3287414</v>
      </c>
      <c r="H150" s="1">
        <v>5.6299052847714002E-5</v>
      </c>
      <c r="I150">
        <v>5.6299052847714002E-3</v>
      </c>
      <c r="J150" s="1">
        <v>9.7913511820047196E-5</v>
      </c>
      <c r="K150" s="286">
        <v>9.7913511820047205E-3</v>
      </c>
      <c r="L150" s="288" t="s">
        <v>28</v>
      </c>
      <c r="M150" s="288">
        <v>5000</v>
      </c>
      <c r="N150" s="288">
        <v>12</v>
      </c>
      <c r="O150" s="288">
        <v>0</v>
      </c>
      <c r="P150" s="288">
        <v>0</v>
      </c>
      <c r="Q150" s="288">
        <v>0</v>
      </c>
      <c r="R150" s="288" t="s">
        <v>60</v>
      </c>
      <c r="S150" s="288">
        <v>6</v>
      </c>
      <c r="V150" t="s">
        <v>25</v>
      </c>
      <c r="W150" t="s">
        <v>31</v>
      </c>
    </row>
    <row r="151" spans="1:23" x14ac:dyDescent="0.25">
      <c r="A151" t="s">
        <v>222</v>
      </c>
      <c r="B151" t="s">
        <v>205</v>
      </c>
      <c r="C151" s="285">
        <v>1</v>
      </c>
      <c r="D151">
        <v>600.25188286832997</v>
      </c>
      <c r="E151">
        <v>26833136.273256</v>
      </c>
      <c r="F151">
        <v>13092316.320757899</v>
      </c>
      <c r="G151">
        <v>13092916.572640801</v>
      </c>
      <c r="H151" s="1">
        <v>2.2369799666935899E-5</v>
      </c>
      <c r="I151">
        <v>2.2369799666935898E-3</v>
      </c>
      <c r="J151" s="1">
        <v>4.5845544003742002E-5</v>
      </c>
      <c r="K151" s="286">
        <v>4.5845544003742002E-3</v>
      </c>
      <c r="L151" s="288" t="s">
        <v>81</v>
      </c>
      <c r="M151" s="288">
        <v>5000</v>
      </c>
      <c r="N151" s="288">
        <v>5</v>
      </c>
      <c r="O151" s="288">
        <v>7.860326265485603</v>
      </c>
      <c r="P151" s="288">
        <v>6.4629167447489397</v>
      </c>
      <c r="Q151" s="288">
        <v>0</v>
      </c>
      <c r="R151" s="288" t="s">
        <v>60</v>
      </c>
      <c r="S151" s="288">
        <v>6</v>
      </c>
      <c r="V151" t="s">
        <v>25</v>
      </c>
      <c r="W151" t="s">
        <v>31</v>
      </c>
    </row>
    <row r="152" spans="1:23" x14ac:dyDescent="0.25">
      <c r="A152" t="s">
        <v>223</v>
      </c>
      <c r="B152" t="s">
        <v>205</v>
      </c>
      <c r="C152" s="285">
        <v>1</v>
      </c>
      <c r="D152">
        <v>681.046916736247</v>
      </c>
      <c r="E152">
        <v>22102329.2511326</v>
      </c>
      <c r="F152">
        <v>10150973.6256919</v>
      </c>
      <c r="G152">
        <v>10151654.6726087</v>
      </c>
      <c r="H152" s="1">
        <v>3.0813354963542898E-5</v>
      </c>
      <c r="I152">
        <v>3.0813354963542899E-3</v>
      </c>
      <c r="J152" s="1">
        <v>6.7087281699391505E-5</v>
      </c>
      <c r="K152" s="286">
        <v>6.7087281699391502E-3</v>
      </c>
      <c r="L152" s="288" t="s">
        <v>81</v>
      </c>
      <c r="M152" s="288">
        <v>5000</v>
      </c>
      <c r="N152" s="288">
        <v>11</v>
      </c>
      <c r="O152" s="288">
        <v>4.7841583668080823</v>
      </c>
      <c r="P152" s="288">
        <v>7.3176300772135034</v>
      </c>
      <c r="Q152" s="288">
        <v>0</v>
      </c>
      <c r="R152" s="288" t="s">
        <v>60</v>
      </c>
      <c r="S152" s="288">
        <v>6</v>
      </c>
      <c r="V152" t="s">
        <v>25</v>
      </c>
      <c r="W152" t="s">
        <v>31</v>
      </c>
    </row>
    <row r="153" spans="1:23" x14ac:dyDescent="0.25">
      <c r="A153" t="s">
        <v>224</v>
      </c>
      <c r="B153" t="s">
        <v>205</v>
      </c>
      <c r="C153" s="285">
        <v>0</v>
      </c>
      <c r="D153">
        <v>0</v>
      </c>
      <c r="E153">
        <v>25132697.796530701</v>
      </c>
      <c r="F153">
        <v>11534484.985934701</v>
      </c>
      <c r="G153">
        <v>11535159.0531087</v>
      </c>
      <c r="H153" s="1">
        <v>0</v>
      </c>
      <c r="I153">
        <v>0</v>
      </c>
      <c r="J153" s="1">
        <v>0</v>
      </c>
      <c r="K153" s="286">
        <v>0</v>
      </c>
      <c r="L153" s="288" t="s">
        <v>28</v>
      </c>
      <c r="M153" s="288">
        <v>5000</v>
      </c>
      <c r="N153" s="288">
        <v>16</v>
      </c>
      <c r="O153" s="288">
        <v>2.084011148855974</v>
      </c>
      <c r="P153" s="288">
        <v>4.1934594884198892</v>
      </c>
      <c r="Q153" s="288">
        <v>0</v>
      </c>
      <c r="R153" s="288" t="s">
        <v>60</v>
      </c>
      <c r="S153" s="288">
        <v>6</v>
      </c>
      <c r="V153" t="s">
        <v>25</v>
      </c>
      <c r="W153" t="s">
        <v>26</v>
      </c>
    </row>
    <row r="154" spans="1:23" x14ac:dyDescent="0.25">
      <c r="A154" t="s">
        <v>225</v>
      </c>
      <c r="B154" t="s">
        <v>205</v>
      </c>
      <c r="C154" s="285">
        <v>0</v>
      </c>
      <c r="D154">
        <v>0</v>
      </c>
      <c r="E154">
        <v>21848807.624086302</v>
      </c>
      <c r="F154">
        <v>8076341.6616463503</v>
      </c>
      <c r="G154">
        <v>8076563.5306229703</v>
      </c>
      <c r="H154" s="1">
        <v>0</v>
      </c>
      <c r="I154">
        <v>0</v>
      </c>
      <c r="J154" s="1">
        <v>0</v>
      </c>
      <c r="K154" s="286">
        <v>0</v>
      </c>
      <c r="L154" s="288" t="s">
        <v>28</v>
      </c>
      <c r="M154" s="288">
        <v>5000</v>
      </c>
      <c r="N154" s="288">
        <v>4</v>
      </c>
      <c r="O154" s="288">
        <v>3.5774258464081972</v>
      </c>
      <c r="P154" s="288">
        <v>5.4855300676753993</v>
      </c>
      <c r="Q154" s="288">
        <v>0</v>
      </c>
      <c r="R154" s="288" t="s">
        <v>60</v>
      </c>
      <c r="S154" s="288">
        <v>6</v>
      </c>
      <c r="V154" t="s">
        <v>25</v>
      </c>
      <c r="W154" t="s">
        <v>26</v>
      </c>
    </row>
    <row r="155" spans="1:23" x14ac:dyDescent="0.25">
      <c r="A155" t="s">
        <v>226</v>
      </c>
      <c r="B155" t="s">
        <v>205</v>
      </c>
      <c r="C155" s="285">
        <v>1</v>
      </c>
      <c r="D155">
        <v>1998.0898339166099</v>
      </c>
      <c r="E155">
        <v>21867825.0469051</v>
      </c>
      <c r="F155">
        <v>11240763.9825307</v>
      </c>
      <c r="G155">
        <v>11242762.0723646</v>
      </c>
      <c r="H155" s="1">
        <v>9.1371219114421597E-5</v>
      </c>
      <c r="I155">
        <v>9.1371219114421594E-3</v>
      </c>
      <c r="J155">
        <v>1.7772232668945501E-4</v>
      </c>
      <c r="K155" s="286">
        <v>1.7772232668945499E-2</v>
      </c>
      <c r="L155" s="288" t="s">
        <v>28</v>
      </c>
      <c r="M155" s="288">
        <v>5000</v>
      </c>
      <c r="N155" s="288">
        <v>13</v>
      </c>
      <c r="O155" s="288">
        <v>3.59476016371219</v>
      </c>
      <c r="P155" s="288">
        <v>5.050839640533674</v>
      </c>
      <c r="Q155" s="288">
        <v>0</v>
      </c>
      <c r="R155" s="288" t="s">
        <v>60</v>
      </c>
      <c r="S155" s="288">
        <v>6</v>
      </c>
      <c r="V155" t="s">
        <v>25</v>
      </c>
      <c r="W155" t="s">
        <v>31</v>
      </c>
    </row>
    <row r="156" spans="1:23" x14ac:dyDescent="0.25">
      <c r="A156" t="s">
        <v>227</v>
      </c>
      <c r="B156" t="s">
        <v>205</v>
      </c>
      <c r="C156" s="285">
        <v>0</v>
      </c>
      <c r="D156">
        <v>0</v>
      </c>
      <c r="E156">
        <v>18817874.011292301</v>
      </c>
      <c r="F156">
        <v>9604129.4706508592</v>
      </c>
      <c r="G156">
        <v>9604168.3876129594</v>
      </c>
      <c r="H156" s="1">
        <v>0</v>
      </c>
      <c r="I156">
        <v>0</v>
      </c>
      <c r="J156" s="1">
        <v>0</v>
      </c>
      <c r="K156" s="286">
        <v>0</v>
      </c>
      <c r="L156" s="288" t="s">
        <v>81</v>
      </c>
      <c r="M156" s="288">
        <v>5000</v>
      </c>
      <c r="N156" s="288">
        <v>15</v>
      </c>
      <c r="O156" s="288">
        <v>2.4440307357971842</v>
      </c>
      <c r="P156" s="288">
        <v>6.8922734061183357</v>
      </c>
      <c r="Q156" s="288">
        <v>0</v>
      </c>
      <c r="R156" s="288" t="s">
        <v>60</v>
      </c>
      <c r="S156" s="288">
        <v>6</v>
      </c>
      <c r="V156" t="s">
        <v>25</v>
      </c>
      <c r="W156" t="s">
        <v>26</v>
      </c>
    </row>
    <row r="157" spans="1:23" x14ac:dyDescent="0.25">
      <c r="A157" t="s">
        <v>228</v>
      </c>
      <c r="B157" t="s">
        <v>205</v>
      </c>
      <c r="C157" s="285">
        <v>0</v>
      </c>
      <c r="D157">
        <v>0</v>
      </c>
      <c r="E157">
        <v>25446923.1343497</v>
      </c>
      <c r="F157">
        <v>16655126.1564776</v>
      </c>
      <c r="G157">
        <v>16655765.113794999</v>
      </c>
      <c r="H157" s="1">
        <v>0</v>
      </c>
      <c r="I157">
        <v>0</v>
      </c>
      <c r="J157" s="1">
        <v>0</v>
      </c>
      <c r="K157" s="286">
        <v>0</v>
      </c>
      <c r="L157" s="288" t="s">
        <v>81</v>
      </c>
      <c r="M157" s="288">
        <v>5000</v>
      </c>
      <c r="N157" s="288">
        <v>20</v>
      </c>
      <c r="O157" s="288">
        <v>3.6494298867485426</v>
      </c>
      <c r="P157" s="288">
        <v>6.6309257568266169</v>
      </c>
      <c r="Q157" s="288">
        <v>0</v>
      </c>
      <c r="R157" s="288" t="s">
        <v>60</v>
      </c>
      <c r="S157" s="288">
        <v>6</v>
      </c>
      <c r="V157" t="s">
        <v>25</v>
      </c>
      <c r="W157" t="s">
        <v>26</v>
      </c>
    </row>
    <row r="158" spans="1:23" x14ac:dyDescent="0.25">
      <c r="A158" t="s">
        <v>229</v>
      </c>
      <c r="B158" t="s">
        <v>205</v>
      </c>
      <c r="C158" s="285">
        <v>0</v>
      </c>
      <c r="D158">
        <v>0</v>
      </c>
      <c r="E158">
        <v>18857056.412450999</v>
      </c>
      <c r="F158">
        <v>9948572.2923896294</v>
      </c>
      <c r="G158">
        <v>9948821.8685596008</v>
      </c>
      <c r="H158" s="1">
        <v>0</v>
      </c>
      <c r="I158">
        <v>0</v>
      </c>
      <c r="J158" s="1">
        <v>0</v>
      </c>
      <c r="K158" s="286">
        <v>0</v>
      </c>
      <c r="L158" s="288" t="s">
        <v>81</v>
      </c>
      <c r="M158" s="288">
        <v>5000</v>
      </c>
      <c r="N158" s="288">
        <v>9</v>
      </c>
      <c r="O158" s="288">
        <v>3.6227617798292067</v>
      </c>
      <c r="P158" s="288">
        <v>5.8828850291684018</v>
      </c>
      <c r="Q158" s="288">
        <v>0</v>
      </c>
      <c r="R158" s="288" t="s">
        <v>60</v>
      </c>
      <c r="S158" s="288">
        <v>6</v>
      </c>
      <c r="V158" t="s">
        <v>25</v>
      </c>
      <c r="W158" t="s">
        <v>26</v>
      </c>
    </row>
    <row r="159" spans="1:23" x14ac:dyDescent="0.25">
      <c r="A159" t="s">
        <v>230</v>
      </c>
      <c r="B159" t="s">
        <v>205</v>
      </c>
      <c r="C159" s="285">
        <v>1</v>
      </c>
      <c r="D159">
        <v>174.28031635123199</v>
      </c>
      <c r="E159">
        <v>21805819.933566</v>
      </c>
      <c r="F159">
        <v>9330691.9116037395</v>
      </c>
      <c r="G159">
        <v>9330866.1919200905</v>
      </c>
      <c r="H159" s="1">
        <v>7.9923762042517793E-6</v>
      </c>
      <c r="I159">
        <v>7.9923762042517798E-4</v>
      </c>
      <c r="J159" s="1">
        <v>1.86778282708787E-5</v>
      </c>
      <c r="K159" s="286">
        <v>1.8677828270878701E-3</v>
      </c>
      <c r="L159" s="288" t="s">
        <v>28</v>
      </c>
      <c r="M159" s="288">
        <v>5000</v>
      </c>
      <c r="N159" s="288">
        <v>14</v>
      </c>
      <c r="O159" s="288">
        <v>3.3800816578606194</v>
      </c>
      <c r="P159" s="288">
        <v>4.2427955205749637</v>
      </c>
      <c r="Q159" s="288">
        <v>0</v>
      </c>
      <c r="R159" s="288" t="s">
        <v>60</v>
      </c>
      <c r="S159" s="288">
        <v>6</v>
      </c>
      <c r="V159" t="s">
        <v>25</v>
      </c>
      <c r="W159" t="s">
        <v>31</v>
      </c>
    </row>
    <row r="160" spans="1:23" x14ac:dyDescent="0.25">
      <c r="A160" t="s">
        <v>231</v>
      </c>
      <c r="B160" t="s">
        <v>205</v>
      </c>
      <c r="C160" s="285">
        <v>1</v>
      </c>
      <c r="D160">
        <v>429.99015330903399</v>
      </c>
      <c r="E160">
        <v>29945959.491747301</v>
      </c>
      <c r="F160">
        <v>11358202.166962</v>
      </c>
      <c r="G160">
        <v>11358632.157115299</v>
      </c>
      <c r="H160" s="1">
        <v>1.4358870465564201E-5</v>
      </c>
      <c r="I160">
        <v>1.43588704655642E-3</v>
      </c>
      <c r="J160" s="1">
        <v>3.7855804058209197E-5</v>
      </c>
      <c r="K160" s="286">
        <v>3.78558040582092E-3</v>
      </c>
      <c r="L160" s="288" t="s">
        <v>28</v>
      </c>
      <c r="M160" s="288">
        <v>5000</v>
      </c>
      <c r="N160" s="288">
        <v>16</v>
      </c>
      <c r="O160" s="288">
        <v>3.4934212424552147</v>
      </c>
      <c r="P160" s="288">
        <v>6.4309150832017661</v>
      </c>
      <c r="Q160" s="288">
        <v>0</v>
      </c>
      <c r="R160" s="288" t="s">
        <v>60</v>
      </c>
      <c r="S160" s="288">
        <v>6</v>
      </c>
      <c r="V160" t="s">
        <v>25</v>
      </c>
      <c r="W160" t="s">
        <v>31</v>
      </c>
    </row>
    <row r="161" spans="1:23" x14ac:dyDescent="0.25">
      <c r="A161" t="s">
        <v>232</v>
      </c>
      <c r="B161" t="s">
        <v>205</v>
      </c>
      <c r="C161" s="285">
        <v>1</v>
      </c>
      <c r="D161">
        <v>740.69128324461599</v>
      </c>
      <c r="E161">
        <v>38686246.713909701</v>
      </c>
      <c r="F161">
        <v>24362837.781477898</v>
      </c>
      <c r="G161">
        <v>24363578.472761098</v>
      </c>
      <c r="H161" s="1">
        <v>1.9146113830119798E-5</v>
      </c>
      <c r="I161">
        <v>1.9146113830119801E-3</v>
      </c>
      <c r="J161" s="1">
        <v>3.0401580132110701E-5</v>
      </c>
      <c r="K161" s="286">
        <v>3.0401580132110701E-3</v>
      </c>
      <c r="L161" s="288" t="s">
        <v>81</v>
      </c>
      <c r="M161" s="288">
        <v>5000</v>
      </c>
      <c r="N161" s="288">
        <v>28</v>
      </c>
      <c r="O161" s="288">
        <v>0</v>
      </c>
      <c r="P161" s="288">
        <v>5.9228872116415623</v>
      </c>
      <c r="Q161" s="288">
        <v>0</v>
      </c>
      <c r="R161" s="288" t="s">
        <v>60</v>
      </c>
      <c r="S161" s="288">
        <v>6</v>
      </c>
      <c r="V161" t="s">
        <v>25</v>
      </c>
      <c r="W161" t="s">
        <v>31</v>
      </c>
    </row>
    <row r="162" spans="1:23" x14ac:dyDescent="0.25">
      <c r="A162" t="s">
        <v>233</v>
      </c>
      <c r="B162" t="s">
        <v>205</v>
      </c>
      <c r="C162" s="285">
        <v>0</v>
      </c>
      <c r="D162">
        <v>0</v>
      </c>
      <c r="E162">
        <v>24357291.267990898</v>
      </c>
      <c r="F162">
        <v>13509855.556001799</v>
      </c>
      <c r="G162">
        <v>13516058.7929995</v>
      </c>
      <c r="H162" s="1">
        <v>0</v>
      </c>
      <c r="I162">
        <v>0</v>
      </c>
      <c r="J162" s="1">
        <v>0</v>
      </c>
      <c r="K162" s="286">
        <v>0</v>
      </c>
      <c r="L162" s="288" t="s">
        <v>81</v>
      </c>
      <c r="M162" s="288">
        <v>5000</v>
      </c>
      <c r="N162" s="288">
        <v>17</v>
      </c>
      <c r="O162" s="288">
        <v>3.1747372787624943</v>
      </c>
      <c r="P162" s="288">
        <v>5.4655288807240598</v>
      </c>
      <c r="Q162" s="288">
        <v>0</v>
      </c>
      <c r="R162" s="288" t="s">
        <v>60</v>
      </c>
      <c r="S162" s="288">
        <v>6</v>
      </c>
      <c r="V162" t="s">
        <v>25</v>
      </c>
      <c r="W162" t="s">
        <v>26</v>
      </c>
    </row>
    <row r="163" spans="1:23" x14ac:dyDescent="0.25">
      <c r="A163" t="s">
        <v>234</v>
      </c>
      <c r="B163" t="s">
        <v>205</v>
      </c>
      <c r="C163" s="285">
        <v>0</v>
      </c>
      <c r="D163">
        <v>0</v>
      </c>
      <c r="E163">
        <v>19043302.5410164</v>
      </c>
      <c r="F163">
        <v>10963233.748673899</v>
      </c>
      <c r="G163">
        <v>10963402.741371499</v>
      </c>
      <c r="H163" s="1">
        <v>0</v>
      </c>
      <c r="I163">
        <v>0</v>
      </c>
      <c r="J163" s="1">
        <v>0</v>
      </c>
      <c r="K163" s="286">
        <v>0</v>
      </c>
      <c r="L163" s="288" t="s">
        <v>81</v>
      </c>
      <c r="M163" s="288">
        <v>5000</v>
      </c>
      <c r="N163" s="288">
        <v>1</v>
      </c>
      <c r="O163" s="288">
        <v>0</v>
      </c>
      <c r="P163" s="288">
        <v>6.0802290916371842</v>
      </c>
      <c r="Q163" s="288">
        <v>0</v>
      </c>
      <c r="R163" s="288" t="s">
        <v>60</v>
      </c>
      <c r="S163" s="288">
        <v>6</v>
      </c>
      <c r="V163" t="s">
        <v>25</v>
      </c>
      <c r="W163" t="s">
        <v>26</v>
      </c>
    </row>
    <row r="164" spans="1:23" x14ac:dyDescent="0.25">
      <c r="A164" t="s">
        <v>235</v>
      </c>
      <c r="B164" t="s">
        <v>205</v>
      </c>
      <c r="C164" s="285">
        <v>1</v>
      </c>
      <c r="D164">
        <v>786.58798827166595</v>
      </c>
      <c r="E164">
        <v>28056848.620194301</v>
      </c>
      <c r="F164">
        <v>13193816.595102901</v>
      </c>
      <c r="G164">
        <v>13194603.183091201</v>
      </c>
      <c r="H164" s="1">
        <v>2.8035507441327701E-5</v>
      </c>
      <c r="I164">
        <v>2.8035507441327699E-3</v>
      </c>
      <c r="J164" s="1">
        <v>5.9614372433698602E-5</v>
      </c>
      <c r="K164" s="286">
        <v>5.9614372433698598E-3</v>
      </c>
      <c r="L164" s="288" t="s">
        <v>81</v>
      </c>
      <c r="M164" s="288">
        <v>5000</v>
      </c>
      <c r="N164" s="288">
        <v>13</v>
      </c>
      <c r="O164" s="288">
        <v>0</v>
      </c>
      <c r="P164" s="288">
        <v>6.0188924776196613</v>
      </c>
      <c r="Q164" s="288">
        <v>0</v>
      </c>
      <c r="R164" s="288" t="s">
        <v>60</v>
      </c>
      <c r="S164" s="288">
        <v>6</v>
      </c>
      <c r="V164" t="s">
        <v>25</v>
      </c>
      <c r="W164" t="s">
        <v>31</v>
      </c>
    </row>
    <row r="165" spans="1:23" x14ac:dyDescent="0.25">
      <c r="A165" t="s">
        <v>236</v>
      </c>
      <c r="B165" t="s">
        <v>205</v>
      </c>
      <c r="C165" s="285">
        <v>1</v>
      </c>
      <c r="D165">
        <v>5475.4477602872903</v>
      </c>
      <c r="E165">
        <v>23491869.700150501</v>
      </c>
      <c r="F165">
        <v>12852531.133434899</v>
      </c>
      <c r="G165">
        <v>12858006.581195099</v>
      </c>
      <c r="H165">
        <v>2.33078415220913E-4</v>
      </c>
      <c r="I165">
        <v>2.33078415220913E-2</v>
      </c>
      <c r="J165">
        <v>4.2583955185519301E-4</v>
      </c>
      <c r="K165" s="286">
        <v>4.2583955185519301E-2</v>
      </c>
      <c r="L165" s="288" t="s">
        <v>28</v>
      </c>
      <c r="M165" s="288">
        <v>5000</v>
      </c>
      <c r="N165" s="288">
        <v>14</v>
      </c>
      <c r="O165" s="288">
        <v>3.0213955606413756</v>
      </c>
      <c r="P165" s="288">
        <v>6.029559651628337</v>
      </c>
      <c r="Q165" s="288">
        <v>0</v>
      </c>
      <c r="R165" s="288" t="s">
        <v>60</v>
      </c>
      <c r="S165" s="288">
        <v>6</v>
      </c>
      <c r="V165" t="s">
        <v>25</v>
      </c>
      <c r="W165" t="s">
        <v>31</v>
      </c>
    </row>
    <row r="166" spans="1:23" x14ac:dyDescent="0.25">
      <c r="A166" t="s">
        <v>237</v>
      </c>
      <c r="B166" t="s">
        <v>205</v>
      </c>
      <c r="C166" s="285">
        <v>1</v>
      </c>
      <c r="D166">
        <v>376.47933061683</v>
      </c>
      <c r="E166">
        <v>19060394.704447899</v>
      </c>
      <c r="F166">
        <v>9547300.7236117907</v>
      </c>
      <c r="G166">
        <v>9547677.2029423993</v>
      </c>
      <c r="H166" s="1">
        <v>1.97519168125608E-5</v>
      </c>
      <c r="I166">
        <v>1.97519168125608E-3</v>
      </c>
      <c r="J166" s="1">
        <v>3.9431510158387603E-5</v>
      </c>
      <c r="K166" s="286">
        <v>3.9431510158387702E-3</v>
      </c>
      <c r="L166" s="288" t="s">
        <v>28</v>
      </c>
      <c r="M166" s="288">
        <v>5000</v>
      </c>
      <c r="N166" s="288">
        <v>5</v>
      </c>
      <c r="O166" s="288">
        <v>6.0175590184559553</v>
      </c>
      <c r="P166" s="288">
        <v>6.6669277461982199</v>
      </c>
      <c r="Q166" s="288">
        <v>0</v>
      </c>
      <c r="R166" s="288" t="s">
        <v>60</v>
      </c>
      <c r="S166" s="288">
        <v>6</v>
      </c>
      <c r="V166" t="s">
        <v>25</v>
      </c>
      <c r="W166" t="s">
        <v>31</v>
      </c>
    </row>
    <row r="167" spans="1:23" x14ac:dyDescent="0.25">
      <c r="A167" t="s">
        <v>238</v>
      </c>
      <c r="B167" t="s">
        <v>205</v>
      </c>
      <c r="C167" s="285">
        <v>0</v>
      </c>
      <c r="D167">
        <v>0</v>
      </c>
      <c r="E167">
        <v>22588134.3619317</v>
      </c>
      <c r="F167">
        <v>10474898.468703</v>
      </c>
      <c r="G167">
        <v>10475718.262941999</v>
      </c>
      <c r="H167" s="1">
        <v>0</v>
      </c>
      <c r="I167">
        <v>0</v>
      </c>
      <c r="J167" s="1">
        <v>0</v>
      </c>
      <c r="K167" s="286">
        <v>0</v>
      </c>
      <c r="L167" s="288" t="s">
        <v>28</v>
      </c>
      <c r="M167" s="288">
        <v>5000</v>
      </c>
      <c r="N167" s="288">
        <v>2</v>
      </c>
      <c r="O167" s="288">
        <v>3.6947655512083077</v>
      </c>
      <c r="P167" s="288">
        <v>5.1801800295141982</v>
      </c>
      <c r="Q167" s="288">
        <v>0</v>
      </c>
      <c r="R167" s="288" t="s">
        <v>60</v>
      </c>
      <c r="S167" s="288">
        <v>6</v>
      </c>
      <c r="V167" t="s">
        <v>25</v>
      </c>
      <c r="W167" t="s">
        <v>26</v>
      </c>
    </row>
    <row r="168" spans="1:23" x14ac:dyDescent="0.25">
      <c r="A168" t="s">
        <v>239</v>
      </c>
      <c r="B168" t="s">
        <v>205</v>
      </c>
      <c r="C168" s="285">
        <v>1</v>
      </c>
      <c r="D168">
        <v>1695.4258318877701</v>
      </c>
      <c r="E168">
        <v>21927764.616094202</v>
      </c>
      <c r="F168">
        <v>8972392.1057503</v>
      </c>
      <c r="G168">
        <v>8974087.5315821897</v>
      </c>
      <c r="H168" s="1">
        <v>7.7318680748852194E-5</v>
      </c>
      <c r="I168">
        <v>7.7318680748852198E-3</v>
      </c>
      <c r="J168">
        <v>1.8892459271442499E-4</v>
      </c>
      <c r="K168" s="286">
        <v>1.8892459271442501E-2</v>
      </c>
      <c r="L168" s="288" t="s">
        <v>81</v>
      </c>
      <c r="M168" s="288">
        <v>5000</v>
      </c>
      <c r="N168" s="288">
        <v>6</v>
      </c>
      <c r="O168" s="288">
        <v>5.1295105959579228</v>
      </c>
      <c r="P168" s="288">
        <v>4.4628075391190087</v>
      </c>
      <c r="Q168" s="288">
        <v>0</v>
      </c>
      <c r="R168" s="288" t="s">
        <v>60</v>
      </c>
      <c r="S168" s="288">
        <v>6</v>
      </c>
      <c r="V168" t="s">
        <v>25</v>
      </c>
      <c r="W168" t="s">
        <v>31</v>
      </c>
    </row>
    <row r="169" spans="1:23" x14ac:dyDescent="0.25">
      <c r="A169" t="s">
        <v>240</v>
      </c>
      <c r="B169" t="s">
        <v>205</v>
      </c>
      <c r="C169" s="285">
        <v>0</v>
      </c>
      <c r="D169">
        <v>0</v>
      </c>
      <c r="E169">
        <v>28312917.065855499</v>
      </c>
      <c r="F169">
        <v>11988826.1076815</v>
      </c>
      <c r="G169">
        <v>11989008.213704901</v>
      </c>
      <c r="H169" s="1">
        <v>0</v>
      </c>
      <c r="I169">
        <v>0</v>
      </c>
      <c r="J169" s="1">
        <v>0</v>
      </c>
      <c r="K169" s="286">
        <v>0</v>
      </c>
      <c r="L169" s="288" t="s">
        <v>81</v>
      </c>
      <c r="M169" s="288">
        <v>5000</v>
      </c>
      <c r="N169" s="288">
        <v>10</v>
      </c>
      <c r="O169" s="288">
        <v>4.938833524636066</v>
      </c>
      <c r="P169" s="288">
        <v>6.4815842169535349</v>
      </c>
      <c r="Q169" s="288">
        <v>0</v>
      </c>
      <c r="R169" s="288" t="s">
        <v>60</v>
      </c>
      <c r="S169" s="288">
        <v>6</v>
      </c>
      <c r="V169" t="s">
        <v>25</v>
      </c>
      <c r="W169" t="s">
        <v>26</v>
      </c>
    </row>
    <row r="170" spans="1:23" x14ac:dyDescent="0.25">
      <c r="A170" t="s">
        <v>241</v>
      </c>
      <c r="B170" t="s">
        <v>205</v>
      </c>
      <c r="C170" s="285">
        <v>1</v>
      </c>
      <c r="D170">
        <v>1292.08546152044</v>
      </c>
      <c r="E170">
        <v>34213741.128193803</v>
      </c>
      <c r="F170">
        <v>14015832.640499899</v>
      </c>
      <c r="G170">
        <v>14017124.7259614</v>
      </c>
      <c r="H170" s="1">
        <v>3.7765103111033399E-5</v>
      </c>
      <c r="I170">
        <v>3.77651031110334E-3</v>
      </c>
      <c r="J170" s="1">
        <v>9.2179065734311602E-5</v>
      </c>
      <c r="K170" s="286">
        <v>9.2179065734311599E-3</v>
      </c>
      <c r="L170" s="288" t="s">
        <v>81</v>
      </c>
      <c r="M170" s="288">
        <v>5000</v>
      </c>
      <c r="N170" s="288">
        <v>13</v>
      </c>
      <c r="O170" s="288">
        <v>3.5320900756330924</v>
      </c>
      <c r="P170" s="288">
        <v>6.8189361562049244</v>
      </c>
      <c r="Q170" s="288">
        <v>0</v>
      </c>
      <c r="R170" s="288" t="s">
        <v>60</v>
      </c>
      <c r="S170" s="288">
        <v>6</v>
      </c>
      <c r="V170" t="s">
        <v>25</v>
      </c>
      <c r="W170" t="s">
        <v>31</v>
      </c>
    </row>
    <row r="171" spans="1:23" x14ac:dyDescent="0.25">
      <c r="A171" t="s">
        <v>242</v>
      </c>
      <c r="B171" t="s">
        <v>243</v>
      </c>
      <c r="C171" s="285">
        <v>1</v>
      </c>
      <c r="D171">
        <v>417.72282685073901</v>
      </c>
      <c r="E171">
        <v>17700080.7214555</v>
      </c>
      <c r="F171">
        <v>8060964.9018799104</v>
      </c>
      <c r="G171">
        <v>8061382.62470676</v>
      </c>
      <c r="H171" s="1">
        <v>2.3600052080236399E-5</v>
      </c>
      <c r="I171">
        <v>2.3600052080236401E-3</v>
      </c>
      <c r="J171" s="1">
        <v>5.1817764556974401E-5</v>
      </c>
      <c r="K171" s="286">
        <v>5.1817764556974398E-3</v>
      </c>
      <c r="L171" s="288" t="s">
        <v>28</v>
      </c>
      <c r="M171" s="288">
        <v>5000</v>
      </c>
      <c r="N171" s="288">
        <v>4</v>
      </c>
      <c r="O171" s="288">
        <v>0</v>
      </c>
      <c r="P171" s="288">
        <v>0</v>
      </c>
      <c r="Q171" s="288">
        <v>0</v>
      </c>
      <c r="R171" s="288" t="s">
        <v>60</v>
      </c>
      <c r="S171" s="288">
        <v>6</v>
      </c>
      <c r="V171" t="s">
        <v>25</v>
      </c>
      <c r="W171" t="s">
        <v>31</v>
      </c>
    </row>
    <row r="172" spans="1:23" x14ac:dyDescent="0.25">
      <c r="A172" t="s">
        <v>244</v>
      </c>
      <c r="B172" t="s">
        <v>243</v>
      </c>
      <c r="C172" s="285">
        <v>0</v>
      </c>
      <c r="D172">
        <v>0</v>
      </c>
      <c r="E172">
        <v>20546466.0670554</v>
      </c>
      <c r="F172">
        <v>10977375.861915801</v>
      </c>
      <c r="G172">
        <v>10977690.1587053</v>
      </c>
      <c r="H172" s="1">
        <v>0</v>
      </c>
      <c r="I172">
        <v>0</v>
      </c>
      <c r="J172" s="1">
        <v>0</v>
      </c>
      <c r="K172" s="286">
        <v>0</v>
      </c>
      <c r="L172" s="288" t="s">
        <v>28</v>
      </c>
      <c r="M172" s="288">
        <v>5000</v>
      </c>
      <c r="N172" s="288">
        <v>6</v>
      </c>
      <c r="O172" s="288">
        <v>0</v>
      </c>
      <c r="P172" s="288">
        <v>0</v>
      </c>
      <c r="Q172" s="288">
        <v>0</v>
      </c>
      <c r="R172" s="288" t="s">
        <v>60</v>
      </c>
      <c r="S172" s="288">
        <v>6</v>
      </c>
      <c r="V172" t="s">
        <v>25</v>
      </c>
      <c r="W172" t="s">
        <v>26</v>
      </c>
    </row>
    <row r="173" spans="1:23" x14ac:dyDescent="0.25">
      <c r="A173" t="s">
        <v>245</v>
      </c>
      <c r="B173" t="s">
        <v>243</v>
      </c>
      <c r="C173" s="285">
        <v>0</v>
      </c>
      <c r="D173">
        <v>0</v>
      </c>
      <c r="E173">
        <v>11280468.1819875</v>
      </c>
      <c r="F173">
        <v>5588366.4479445703</v>
      </c>
      <c r="G173">
        <v>5588383.3683642698</v>
      </c>
      <c r="H173" s="1">
        <v>0</v>
      </c>
      <c r="I173">
        <v>0</v>
      </c>
      <c r="J173" s="1">
        <v>0</v>
      </c>
      <c r="K173" s="286">
        <v>0</v>
      </c>
      <c r="L173" s="288" t="s">
        <v>28</v>
      </c>
      <c r="M173" s="288">
        <v>5000</v>
      </c>
      <c r="N173" s="288">
        <v>0</v>
      </c>
      <c r="O173" s="288">
        <v>0</v>
      </c>
      <c r="P173" s="288">
        <v>0</v>
      </c>
      <c r="Q173" s="288">
        <v>0</v>
      </c>
      <c r="R173" s="288" t="s">
        <v>60</v>
      </c>
      <c r="S173" s="288">
        <v>6</v>
      </c>
      <c r="V173" t="s">
        <v>25</v>
      </c>
      <c r="W173" t="s">
        <v>26</v>
      </c>
    </row>
    <row r="174" spans="1:23" x14ac:dyDescent="0.25">
      <c r="A174" t="s">
        <v>246</v>
      </c>
      <c r="B174" t="s">
        <v>243</v>
      </c>
      <c r="C174" s="285">
        <v>1</v>
      </c>
      <c r="D174">
        <v>479.48236525887199</v>
      </c>
      <c r="E174">
        <v>17126749.470623001</v>
      </c>
      <c r="F174">
        <v>9737873.55718063</v>
      </c>
      <c r="G174">
        <v>9738353.0395458899</v>
      </c>
      <c r="H174" s="1">
        <v>2.7996110183155901E-5</v>
      </c>
      <c r="I174">
        <v>2.79961101831559E-3</v>
      </c>
      <c r="J174" s="1">
        <v>4.9236494437177501E-5</v>
      </c>
      <c r="K174" s="286">
        <v>4.9236494437177496E-3</v>
      </c>
      <c r="L174" s="288" t="s">
        <v>28</v>
      </c>
      <c r="M174" s="288">
        <v>5000</v>
      </c>
      <c r="N174" s="288">
        <v>2</v>
      </c>
      <c r="O174" s="288">
        <v>0</v>
      </c>
      <c r="P174" s="288">
        <v>0</v>
      </c>
      <c r="Q174" s="288">
        <v>0</v>
      </c>
      <c r="R174" s="288" t="s">
        <v>60</v>
      </c>
      <c r="S174" s="288">
        <v>6</v>
      </c>
      <c r="V174" t="s">
        <v>25</v>
      </c>
      <c r="W174" t="s">
        <v>31</v>
      </c>
    </row>
    <row r="175" spans="1:23" x14ac:dyDescent="0.25">
      <c r="A175" t="s">
        <v>247</v>
      </c>
      <c r="B175" t="s">
        <v>243</v>
      </c>
      <c r="C175" s="285">
        <v>1</v>
      </c>
      <c r="D175">
        <v>2206.4227648339402</v>
      </c>
      <c r="E175">
        <v>30365719.655217201</v>
      </c>
      <c r="F175">
        <v>12829360.013477501</v>
      </c>
      <c r="G175">
        <v>12831566.4362424</v>
      </c>
      <c r="H175" s="1">
        <v>7.2661632587220902E-5</v>
      </c>
      <c r="I175">
        <v>7.2661632587220897E-3</v>
      </c>
      <c r="J175">
        <v>1.7195272111142701E-4</v>
      </c>
      <c r="K175" s="286">
        <v>1.71952721111427E-2</v>
      </c>
      <c r="L175" s="288" t="s">
        <v>28</v>
      </c>
      <c r="M175" s="288">
        <v>5000</v>
      </c>
      <c r="N175" s="288">
        <v>13</v>
      </c>
      <c r="O175" s="288">
        <v>0</v>
      </c>
      <c r="P175" s="288">
        <v>0</v>
      </c>
      <c r="Q175" s="288">
        <v>0</v>
      </c>
      <c r="R175" s="288" t="s">
        <v>60</v>
      </c>
      <c r="S175" s="288">
        <v>6</v>
      </c>
      <c r="V175" t="s">
        <v>25</v>
      </c>
      <c r="W175" t="s">
        <v>31</v>
      </c>
    </row>
    <row r="176" spans="1:23" x14ac:dyDescent="0.25">
      <c r="A176" t="s">
        <v>248</v>
      </c>
      <c r="B176" t="s">
        <v>243</v>
      </c>
      <c r="C176" s="285">
        <v>0</v>
      </c>
      <c r="D176">
        <v>0</v>
      </c>
      <c r="E176">
        <v>19806012.947912801</v>
      </c>
      <c r="F176">
        <v>8924594.2398977298</v>
      </c>
      <c r="G176">
        <v>8924690.0517706797</v>
      </c>
      <c r="H176" s="1">
        <v>0</v>
      </c>
      <c r="I176">
        <v>0</v>
      </c>
      <c r="J176" s="1">
        <v>0</v>
      </c>
      <c r="K176" s="286">
        <v>0</v>
      </c>
      <c r="L176" s="288" t="s">
        <v>28</v>
      </c>
      <c r="M176" s="288">
        <v>5000</v>
      </c>
      <c r="N176" s="288">
        <v>0</v>
      </c>
      <c r="O176" s="288">
        <v>0</v>
      </c>
      <c r="P176" s="288">
        <v>0</v>
      </c>
      <c r="Q176" s="288">
        <v>0</v>
      </c>
      <c r="R176" s="288" t="s">
        <v>60</v>
      </c>
      <c r="S176" s="288">
        <v>6</v>
      </c>
      <c r="V176" t="s">
        <v>25</v>
      </c>
      <c r="W176" t="s">
        <v>26</v>
      </c>
    </row>
    <row r="177" spans="1:23" x14ac:dyDescent="0.25">
      <c r="A177" t="s">
        <v>249</v>
      </c>
      <c r="B177" t="s">
        <v>243</v>
      </c>
      <c r="C177" s="285">
        <v>0</v>
      </c>
      <c r="D177">
        <v>0</v>
      </c>
      <c r="E177">
        <v>15567776.311801</v>
      </c>
      <c r="F177">
        <v>8065153.5109939501</v>
      </c>
      <c r="G177">
        <v>8065452.5793781104</v>
      </c>
      <c r="H177" s="1">
        <v>0</v>
      </c>
      <c r="I177">
        <v>0</v>
      </c>
      <c r="J177" s="1">
        <v>0</v>
      </c>
      <c r="K177" s="286">
        <v>0</v>
      </c>
      <c r="L177" s="288" t="s">
        <v>28</v>
      </c>
      <c r="M177" s="288">
        <v>5000</v>
      </c>
      <c r="N177" s="288">
        <v>0</v>
      </c>
      <c r="O177" s="288">
        <v>0</v>
      </c>
      <c r="P177" s="288">
        <v>0</v>
      </c>
      <c r="Q177" s="288">
        <v>0</v>
      </c>
      <c r="R177" s="288" t="s">
        <v>60</v>
      </c>
      <c r="S177" s="288">
        <v>6</v>
      </c>
      <c r="V177" t="s">
        <v>25</v>
      </c>
      <c r="W177" t="s">
        <v>26</v>
      </c>
    </row>
    <row r="178" spans="1:23" x14ac:dyDescent="0.25">
      <c r="A178" t="s">
        <v>250</v>
      </c>
      <c r="B178" t="s">
        <v>243</v>
      </c>
      <c r="C178" s="285">
        <v>1</v>
      </c>
      <c r="D178">
        <v>600.04038863026301</v>
      </c>
      <c r="E178">
        <v>21701117.167103302</v>
      </c>
      <c r="F178">
        <v>9976005.4277647492</v>
      </c>
      <c r="G178">
        <v>9976605.4681533799</v>
      </c>
      <c r="H178" s="1">
        <v>2.76502073146659E-5</v>
      </c>
      <c r="I178">
        <v>2.76502073146659E-3</v>
      </c>
      <c r="J178" s="1">
        <v>6.01447446775028E-5</v>
      </c>
      <c r="K178" s="286">
        <v>6.01447446775028E-3</v>
      </c>
      <c r="L178" s="288" t="s">
        <v>28</v>
      </c>
      <c r="M178" s="288">
        <v>5000</v>
      </c>
      <c r="N178" s="288">
        <v>9</v>
      </c>
      <c r="O178" s="288">
        <v>0</v>
      </c>
      <c r="P178" s="288">
        <v>0</v>
      </c>
      <c r="Q178" s="288">
        <v>0</v>
      </c>
      <c r="R178" s="288" t="s">
        <v>60</v>
      </c>
      <c r="S178" s="288">
        <v>6</v>
      </c>
      <c r="V178" t="s">
        <v>25</v>
      </c>
      <c r="W178" t="s">
        <v>31</v>
      </c>
    </row>
    <row r="179" spans="1:23" x14ac:dyDescent="0.25">
      <c r="A179" t="s">
        <v>251</v>
      </c>
      <c r="B179" t="s">
        <v>243</v>
      </c>
      <c r="C179" s="285">
        <v>1</v>
      </c>
      <c r="D179">
        <v>1091.3671088071501</v>
      </c>
      <c r="E179">
        <v>24706179.311974298</v>
      </c>
      <c r="F179">
        <v>11870931.598763101</v>
      </c>
      <c r="G179">
        <v>11872022.965872001</v>
      </c>
      <c r="H179" s="1">
        <v>4.4173852015969101E-5</v>
      </c>
      <c r="I179">
        <v>4.4173852015969104E-3</v>
      </c>
      <c r="J179" s="1">
        <v>9.1927644677277005E-5</v>
      </c>
      <c r="K179" s="286">
        <v>9.1927644677276994E-3</v>
      </c>
      <c r="L179" s="288" t="s">
        <v>28</v>
      </c>
      <c r="M179" s="288">
        <v>5000</v>
      </c>
      <c r="N179" s="288">
        <v>6</v>
      </c>
      <c r="O179" s="288">
        <v>0</v>
      </c>
      <c r="P179" s="288">
        <v>0</v>
      </c>
      <c r="Q179" s="288">
        <v>0</v>
      </c>
      <c r="R179" s="288" t="s">
        <v>60</v>
      </c>
      <c r="S179" s="288">
        <v>6</v>
      </c>
      <c r="V179" t="s">
        <v>25</v>
      </c>
      <c r="W179" t="s">
        <v>31</v>
      </c>
    </row>
    <row r="180" spans="1:23" x14ac:dyDescent="0.25">
      <c r="A180" t="s">
        <v>252</v>
      </c>
      <c r="B180" t="s">
        <v>243</v>
      </c>
      <c r="C180" s="285">
        <v>1</v>
      </c>
      <c r="D180">
        <v>240.69296117439501</v>
      </c>
      <c r="E180">
        <v>18182811.978054099</v>
      </c>
      <c r="F180">
        <v>9099888.3008560892</v>
      </c>
      <c r="G180">
        <v>9100128.9938172605</v>
      </c>
      <c r="H180" s="1">
        <v>1.3237389324869E-5</v>
      </c>
      <c r="I180">
        <v>1.3237389324869001E-3</v>
      </c>
      <c r="J180" s="1">
        <v>2.6449401029142E-5</v>
      </c>
      <c r="K180" s="286">
        <v>2.6449401029141999E-3</v>
      </c>
      <c r="L180" s="288" t="s">
        <v>28</v>
      </c>
      <c r="M180" s="288">
        <v>5000</v>
      </c>
      <c r="N180" s="288">
        <v>6</v>
      </c>
      <c r="O180" s="288">
        <v>0</v>
      </c>
      <c r="P180" s="288">
        <v>0</v>
      </c>
      <c r="Q180" s="288">
        <v>0</v>
      </c>
      <c r="R180" s="288" t="s">
        <v>60</v>
      </c>
      <c r="S180" s="288">
        <v>6</v>
      </c>
      <c r="V180" t="s">
        <v>25</v>
      </c>
      <c r="W180" t="s">
        <v>31</v>
      </c>
    </row>
    <row r="181" spans="1:23" x14ac:dyDescent="0.25">
      <c r="A181" t="s">
        <v>253</v>
      </c>
      <c r="B181" t="s">
        <v>243</v>
      </c>
      <c r="C181" s="285">
        <v>0</v>
      </c>
      <c r="D181">
        <v>0</v>
      </c>
      <c r="E181">
        <v>26747130.8001136</v>
      </c>
      <c r="F181">
        <v>14115206.898502801</v>
      </c>
      <c r="G181">
        <v>14125246.628702801</v>
      </c>
      <c r="H181" s="1">
        <v>0</v>
      </c>
      <c r="I181">
        <v>0</v>
      </c>
      <c r="J181" s="1">
        <v>0</v>
      </c>
      <c r="K181" s="286">
        <v>0</v>
      </c>
      <c r="L181" s="288" t="s">
        <v>28</v>
      </c>
      <c r="M181" s="288">
        <v>5000</v>
      </c>
      <c r="N181" s="288">
        <v>6</v>
      </c>
      <c r="O181" s="288">
        <v>0</v>
      </c>
      <c r="P181" s="288">
        <v>0</v>
      </c>
      <c r="Q181" s="288">
        <v>0</v>
      </c>
      <c r="R181" s="288" t="s">
        <v>60</v>
      </c>
      <c r="S181" s="288">
        <v>6</v>
      </c>
      <c r="V181" t="s">
        <v>25</v>
      </c>
      <c r="W181" t="s">
        <v>26</v>
      </c>
    </row>
    <row r="182" spans="1:23" x14ac:dyDescent="0.25">
      <c r="A182" t="s">
        <v>254</v>
      </c>
      <c r="B182" t="s">
        <v>243</v>
      </c>
      <c r="C182" s="285">
        <v>1</v>
      </c>
      <c r="D182">
        <v>3035.9461705557901</v>
      </c>
      <c r="E182">
        <v>23463502.025895599</v>
      </c>
      <c r="F182">
        <v>10284186.8577572</v>
      </c>
      <c r="G182">
        <v>10287222.8039278</v>
      </c>
      <c r="H182">
        <v>1.2939015528053499E-4</v>
      </c>
      <c r="I182">
        <v>1.29390155280535E-2</v>
      </c>
      <c r="J182">
        <v>2.9511815077987998E-4</v>
      </c>
      <c r="K182" s="286">
        <v>2.9511815077987998E-2</v>
      </c>
      <c r="L182" s="288" t="s">
        <v>28</v>
      </c>
      <c r="M182" s="288">
        <v>5000</v>
      </c>
      <c r="N182" s="288">
        <v>10</v>
      </c>
      <c r="O182" s="288">
        <v>0</v>
      </c>
      <c r="P182" s="288">
        <v>0</v>
      </c>
      <c r="Q182" s="288">
        <v>0</v>
      </c>
      <c r="R182" s="288" t="s">
        <v>60</v>
      </c>
      <c r="S182" s="288">
        <v>6</v>
      </c>
      <c r="V182" t="s">
        <v>25</v>
      </c>
      <c r="W182" t="s">
        <v>31</v>
      </c>
    </row>
    <row r="183" spans="1:23" x14ac:dyDescent="0.25">
      <c r="A183" t="s">
        <v>255</v>
      </c>
      <c r="B183" t="s">
        <v>243</v>
      </c>
      <c r="C183" s="285">
        <v>0</v>
      </c>
      <c r="D183">
        <v>0</v>
      </c>
      <c r="E183">
        <v>27703714.381560002</v>
      </c>
      <c r="F183">
        <v>11620862.9183862</v>
      </c>
      <c r="G183">
        <v>11621524.9297523</v>
      </c>
      <c r="H183" s="1">
        <v>0</v>
      </c>
      <c r="I183">
        <v>0</v>
      </c>
      <c r="J183" s="1">
        <v>0</v>
      </c>
      <c r="K183" s="286">
        <v>0</v>
      </c>
      <c r="L183" s="288" t="s">
        <v>28</v>
      </c>
      <c r="M183" s="288">
        <v>5000</v>
      </c>
      <c r="N183" s="288">
        <v>6</v>
      </c>
      <c r="O183" s="288">
        <v>0</v>
      </c>
      <c r="P183" s="288">
        <v>0</v>
      </c>
      <c r="Q183" s="288">
        <v>0</v>
      </c>
      <c r="R183" s="288" t="s">
        <v>60</v>
      </c>
      <c r="S183" s="288">
        <v>6</v>
      </c>
      <c r="V183" t="s">
        <v>25</v>
      </c>
      <c r="W183" t="s">
        <v>26</v>
      </c>
    </row>
    <row r="184" spans="1:23" x14ac:dyDescent="0.25">
      <c r="A184" t="s">
        <v>256</v>
      </c>
      <c r="B184" t="s">
        <v>243</v>
      </c>
      <c r="C184" s="285">
        <v>4</v>
      </c>
      <c r="D184">
        <v>4572261.0636879699</v>
      </c>
      <c r="E184">
        <v>18699912.181525499</v>
      </c>
      <c r="F184">
        <v>7774410.55434277</v>
      </c>
      <c r="G184">
        <v>12346671.618030701</v>
      </c>
      <c r="H184">
        <v>0.24450708748274699</v>
      </c>
      <c r="I184">
        <v>24.4507087482747</v>
      </c>
      <c r="J184">
        <v>0.37032337176691099</v>
      </c>
      <c r="K184" s="286">
        <v>37.032337176691101</v>
      </c>
      <c r="L184" s="288" t="s">
        <v>28</v>
      </c>
      <c r="M184" s="288">
        <v>5000</v>
      </c>
      <c r="N184" s="288">
        <v>30</v>
      </c>
      <c r="O184" s="288">
        <v>5.9187643452028178</v>
      </c>
      <c r="P184" s="288">
        <v>9.7964932249582581</v>
      </c>
      <c r="Q184" s="288">
        <v>4.1575773081677916</v>
      </c>
      <c r="R184" s="288" t="s">
        <v>29</v>
      </c>
      <c r="S184" s="288">
        <v>6</v>
      </c>
      <c r="V184" t="s">
        <v>25</v>
      </c>
      <c r="W184" t="s">
        <v>31</v>
      </c>
    </row>
    <row r="185" spans="1:23" x14ac:dyDescent="0.25">
      <c r="A185" t="s">
        <v>257</v>
      </c>
      <c r="B185" t="s">
        <v>243</v>
      </c>
      <c r="C185" s="285">
        <v>4</v>
      </c>
      <c r="D185">
        <v>5613471.4861616297</v>
      </c>
      <c r="E185">
        <v>20164586.7883038</v>
      </c>
      <c r="F185">
        <v>8407599.40151201</v>
      </c>
      <c r="G185">
        <v>14021070.8876736</v>
      </c>
      <c r="H185">
        <v>0.27838266883889901</v>
      </c>
      <c r="I185">
        <v>27.838266883889901</v>
      </c>
      <c r="J185">
        <v>0.40035968230476598</v>
      </c>
      <c r="K185" s="286">
        <v>40.035968230476598</v>
      </c>
      <c r="L185" s="288" t="s">
        <v>28</v>
      </c>
      <c r="M185" s="288">
        <v>5000</v>
      </c>
      <c r="N185" s="288">
        <v>33</v>
      </c>
      <c r="O185" s="288">
        <v>7.1324718526872237</v>
      </c>
      <c r="P185" s="288">
        <v>9.6517746674899279</v>
      </c>
      <c r="Q185" s="288">
        <v>4.4909106480119796</v>
      </c>
      <c r="R185" s="288" t="s">
        <v>29</v>
      </c>
      <c r="S185" s="288">
        <v>6</v>
      </c>
      <c r="V185" t="s">
        <v>25</v>
      </c>
      <c r="W185" t="s">
        <v>31</v>
      </c>
    </row>
    <row r="186" spans="1:23" x14ac:dyDescent="0.25">
      <c r="A186" t="s">
        <v>258</v>
      </c>
      <c r="B186" t="s">
        <v>243</v>
      </c>
      <c r="C186" s="285">
        <v>0</v>
      </c>
      <c r="D186">
        <v>0</v>
      </c>
      <c r="E186">
        <v>16792377.809961502</v>
      </c>
      <c r="F186">
        <v>8130205.1948969001</v>
      </c>
      <c r="G186">
        <v>8130340.5582545204</v>
      </c>
      <c r="H186" s="1">
        <v>0</v>
      </c>
      <c r="I186">
        <v>0</v>
      </c>
      <c r="J186" s="1">
        <v>0</v>
      </c>
      <c r="K186" s="286">
        <v>0</v>
      </c>
      <c r="L186" s="288" t="s">
        <v>28</v>
      </c>
      <c r="M186" s="288">
        <v>5000</v>
      </c>
      <c r="N186" s="288">
        <v>7</v>
      </c>
      <c r="O186" s="288">
        <v>6.454352075357245</v>
      </c>
      <c r="P186" s="288">
        <v>8.1804504133815676</v>
      </c>
      <c r="R186" s="288" t="s">
        <v>29</v>
      </c>
      <c r="S186" s="288">
        <v>6</v>
      </c>
      <c r="V186" t="s">
        <v>25</v>
      </c>
      <c r="W186" t="s">
        <v>26</v>
      </c>
    </row>
    <row r="187" spans="1:23" x14ac:dyDescent="0.25">
      <c r="A187" t="s">
        <v>259</v>
      </c>
      <c r="B187" t="s">
        <v>260</v>
      </c>
      <c r="C187" s="285">
        <v>0</v>
      </c>
      <c r="D187">
        <v>0</v>
      </c>
      <c r="E187">
        <v>17351134.085894801</v>
      </c>
      <c r="F187">
        <v>9819703.8723953292</v>
      </c>
      <c r="G187">
        <v>9820900.3574001603</v>
      </c>
      <c r="H187" s="1">
        <v>0</v>
      </c>
      <c r="I187">
        <v>0</v>
      </c>
      <c r="J187" s="1">
        <v>0</v>
      </c>
      <c r="K187" s="286">
        <v>0</v>
      </c>
      <c r="L187" s="288" t="s">
        <v>28</v>
      </c>
      <c r="M187" s="288">
        <v>5000</v>
      </c>
      <c r="N187" s="288">
        <v>3</v>
      </c>
      <c r="O187" s="288">
        <v>5.3250532096823804</v>
      </c>
      <c r="P187" s="288">
        <v>0</v>
      </c>
      <c r="Q187" s="288">
        <v>0</v>
      </c>
      <c r="R187" s="288" t="s">
        <v>60</v>
      </c>
      <c r="S187" s="288">
        <v>2</v>
      </c>
      <c r="V187" t="s">
        <v>61</v>
      </c>
      <c r="W187" t="s">
        <v>26</v>
      </c>
    </row>
    <row r="188" spans="1:23" x14ac:dyDescent="0.25">
      <c r="A188" t="s">
        <v>261</v>
      </c>
      <c r="B188" t="s">
        <v>260</v>
      </c>
      <c r="C188" s="285">
        <v>1</v>
      </c>
      <c r="D188">
        <v>18573.967567485601</v>
      </c>
      <c r="E188">
        <v>26231733.855003498</v>
      </c>
      <c r="F188">
        <v>15032187.036087099</v>
      </c>
      <c r="G188">
        <v>15050761.003654599</v>
      </c>
      <c r="H188">
        <v>7.0807243128317803E-4</v>
      </c>
      <c r="I188">
        <v>7.0807243128317807E-2</v>
      </c>
      <c r="J188">
        <v>1.2340882672295E-3</v>
      </c>
      <c r="K188" s="286">
        <v>0.12340882672295</v>
      </c>
      <c r="L188" s="288" t="s">
        <v>28</v>
      </c>
      <c r="M188" s="288">
        <v>5000</v>
      </c>
      <c r="N188" s="288">
        <v>4</v>
      </c>
      <c r="O188" s="288">
        <v>3.228310513081142</v>
      </c>
      <c r="P188" s="288">
        <v>0</v>
      </c>
      <c r="Q188" s="288">
        <v>0</v>
      </c>
      <c r="R188" s="288" t="s">
        <v>60</v>
      </c>
      <c r="S188" s="288">
        <v>6</v>
      </c>
      <c r="V188" t="s">
        <v>61</v>
      </c>
      <c r="W188" t="s">
        <v>31</v>
      </c>
    </row>
    <row r="189" spans="1:23" x14ac:dyDescent="0.25">
      <c r="A189" t="s">
        <v>262</v>
      </c>
      <c r="B189" t="s">
        <v>260</v>
      </c>
      <c r="C189" s="285">
        <v>3</v>
      </c>
      <c r="D189">
        <v>1541547.8917755899</v>
      </c>
      <c r="E189">
        <v>24949156.172739401</v>
      </c>
      <c r="F189">
        <v>13263624.0730354</v>
      </c>
      <c r="G189">
        <v>14805171.964810999</v>
      </c>
      <c r="H189">
        <v>6.1787576345366101E-2</v>
      </c>
      <c r="I189">
        <v>6.17875763453661</v>
      </c>
      <c r="J189">
        <v>0.104122255076776</v>
      </c>
      <c r="K189" s="286">
        <v>10.412225507677601</v>
      </c>
      <c r="L189" s="288" t="s">
        <v>28</v>
      </c>
      <c r="M189" s="288">
        <v>5000</v>
      </c>
      <c r="N189" s="288">
        <v>21</v>
      </c>
      <c r="O189" s="288">
        <v>5.3365878018156643</v>
      </c>
      <c r="P189" s="288">
        <v>4.9455974756357088</v>
      </c>
      <c r="Q189" s="288">
        <v>4.4487063199050798</v>
      </c>
      <c r="R189" s="288" t="s">
        <v>29</v>
      </c>
      <c r="S189" s="288">
        <v>6</v>
      </c>
      <c r="V189" t="s">
        <v>61</v>
      </c>
      <c r="W189" t="s">
        <v>31</v>
      </c>
    </row>
    <row r="190" spans="1:23" x14ac:dyDescent="0.25">
      <c r="A190" t="s">
        <v>263</v>
      </c>
      <c r="B190" t="s">
        <v>260</v>
      </c>
      <c r="C190" s="285">
        <v>0</v>
      </c>
      <c r="D190">
        <v>0</v>
      </c>
      <c r="E190">
        <v>23852182.403386701</v>
      </c>
      <c r="F190">
        <v>13683976.0051273</v>
      </c>
      <c r="G190">
        <v>13689084.914295901</v>
      </c>
      <c r="H190" s="1">
        <v>0</v>
      </c>
      <c r="I190">
        <v>0</v>
      </c>
      <c r="J190" s="1">
        <v>0</v>
      </c>
      <c r="K190" s="286">
        <v>0</v>
      </c>
      <c r="L190" s="288" t="s">
        <v>28</v>
      </c>
      <c r="M190" s="288">
        <v>5000</v>
      </c>
      <c r="N190" s="288">
        <v>1</v>
      </c>
      <c r="O190" s="288">
        <v>6.0396781851121206</v>
      </c>
      <c r="P190" s="288">
        <v>4.069280240110702</v>
      </c>
      <c r="Q190" s="288">
        <v>3.1986570869544226</v>
      </c>
      <c r="R190" s="288" t="s">
        <v>29</v>
      </c>
      <c r="S190" s="288">
        <v>2</v>
      </c>
      <c r="V190" t="s">
        <v>61</v>
      </c>
      <c r="W190" t="s">
        <v>26</v>
      </c>
    </row>
    <row r="191" spans="1:23" x14ac:dyDescent="0.25">
      <c r="A191" t="s">
        <v>264</v>
      </c>
      <c r="B191" t="s">
        <v>260</v>
      </c>
      <c r="C191" s="285">
        <v>2</v>
      </c>
      <c r="D191">
        <v>104084.27220407101</v>
      </c>
      <c r="E191">
        <v>28294772.7675533</v>
      </c>
      <c r="F191">
        <v>15008050.1088336</v>
      </c>
      <c r="G191">
        <v>15112134.381037701</v>
      </c>
      <c r="H191">
        <v>3.67856893777315E-3</v>
      </c>
      <c r="I191">
        <v>0.36785689377731501</v>
      </c>
      <c r="J191">
        <v>6.8874633840387998E-3</v>
      </c>
      <c r="K191" s="286">
        <v>0.68874633840388</v>
      </c>
      <c r="L191" s="288" t="s">
        <v>81</v>
      </c>
      <c r="M191" s="288">
        <v>5000</v>
      </c>
      <c r="N191" s="288">
        <v>8</v>
      </c>
      <c r="O191" s="288">
        <v>6.5986917126763691</v>
      </c>
      <c r="P191" s="288">
        <v>7.281095278220735</v>
      </c>
      <c r="Q191" s="288">
        <v>4.1986570869544222</v>
      </c>
      <c r="R191" s="288" t="s">
        <v>60</v>
      </c>
      <c r="S191" s="288">
        <v>2</v>
      </c>
      <c r="V191" t="s">
        <v>61</v>
      </c>
      <c r="W191" t="s">
        <v>31</v>
      </c>
    </row>
    <row r="192" spans="1:23" x14ac:dyDescent="0.25">
      <c r="A192" t="s">
        <v>265</v>
      </c>
      <c r="B192" t="s">
        <v>260</v>
      </c>
      <c r="C192" s="285">
        <v>1</v>
      </c>
      <c r="D192">
        <v>2157.9879336122999</v>
      </c>
      <c r="E192">
        <v>16735241.264273601</v>
      </c>
      <c r="F192">
        <v>9665737.7258675303</v>
      </c>
      <c r="G192">
        <v>9667895.71380114</v>
      </c>
      <c r="H192">
        <v>1.2894871962313201E-4</v>
      </c>
      <c r="I192">
        <v>1.28948719623132E-2</v>
      </c>
      <c r="J192">
        <v>2.2321175129472301E-4</v>
      </c>
      <c r="K192" s="286">
        <v>2.23211751294723E-2</v>
      </c>
      <c r="L192" s="288" t="s">
        <v>81</v>
      </c>
      <c r="M192" s="288">
        <v>5000</v>
      </c>
      <c r="N192" s="288">
        <v>13</v>
      </c>
      <c r="O192" s="288">
        <v>4.4910329065534054</v>
      </c>
      <c r="P192" s="288">
        <v>7.281095278220735</v>
      </c>
      <c r="Q192" s="288">
        <v>0</v>
      </c>
      <c r="R192" s="288" t="s">
        <v>60</v>
      </c>
      <c r="S192" s="288">
        <v>6</v>
      </c>
      <c r="V192" t="s">
        <v>61</v>
      </c>
      <c r="W192" t="s">
        <v>31</v>
      </c>
    </row>
    <row r="193" spans="1:23" x14ac:dyDescent="0.25">
      <c r="A193" t="s">
        <v>266</v>
      </c>
      <c r="B193" t="s">
        <v>260</v>
      </c>
      <c r="C193" s="285">
        <v>3</v>
      </c>
      <c r="D193">
        <v>2552890.3471284402</v>
      </c>
      <c r="E193">
        <v>20456572.961066399</v>
      </c>
      <c r="F193">
        <v>9487249.0943912305</v>
      </c>
      <c r="G193">
        <v>12040139.441519599</v>
      </c>
      <c r="H193">
        <v>0.124795602469053</v>
      </c>
      <c r="I193">
        <v>12.479560246905301</v>
      </c>
      <c r="J193">
        <v>0.21203162633855799</v>
      </c>
      <c r="K193" s="286">
        <v>21.203162633855801</v>
      </c>
      <c r="L193" s="288" t="s">
        <v>81</v>
      </c>
      <c r="M193" s="288">
        <v>5000</v>
      </c>
      <c r="N193" s="288">
        <v>16</v>
      </c>
      <c r="O193" s="288">
        <v>6.765452471166439</v>
      </c>
      <c r="P193" s="288">
        <v>8.6344772701607315</v>
      </c>
      <c r="Q193" s="288">
        <v>6.9489017609702133</v>
      </c>
      <c r="R193" s="288" t="s">
        <v>29</v>
      </c>
      <c r="S193" s="288">
        <v>2</v>
      </c>
      <c r="V193" t="s">
        <v>61</v>
      </c>
      <c r="W193" t="s">
        <v>31</v>
      </c>
    </row>
    <row r="194" spans="1:23" x14ac:dyDescent="0.25">
      <c r="A194" t="s">
        <v>267</v>
      </c>
      <c r="B194" t="s">
        <v>260</v>
      </c>
      <c r="C194" s="285">
        <v>3</v>
      </c>
      <c r="D194">
        <v>3190623.10986795</v>
      </c>
      <c r="E194">
        <v>28896902.662959699</v>
      </c>
      <c r="F194">
        <v>17083863.784750201</v>
      </c>
      <c r="G194">
        <v>20274486.894618101</v>
      </c>
      <c r="H194">
        <v>0.110414017276589</v>
      </c>
      <c r="I194">
        <v>11.041401727658901</v>
      </c>
      <c r="J194">
        <v>0.15737133701346101</v>
      </c>
      <c r="K194" s="286">
        <v>15.737133701346099</v>
      </c>
      <c r="L194" s="288" t="s">
        <v>81</v>
      </c>
      <c r="M194" s="288">
        <v>5000</v>
      </c>
      <c r="N194" s="288">
        <v>26</v>
      </c>
      <c r="O194" s="288">
        <v>5.1629743136527821</v>
      </c>
      <c r="P194" s="288">
        <v>8.6344772701607315</v>
      </c>
      <c r="Q194" s="288">
        <v>4.1986570869544222</v>
      </c>
      <c r="R194" s="288" t="s">
        <v>29</v>
      </c>
      <c r="S194" s="288">
        <v>6</v>
      </c>
      <c r="V194" t="s">
        <v>61</v>
      </c>
      <c r="W194" t="s">
        <v>31</v>
      </c>
    </row>
    <row r="195" spans="1:23" x14ac:dyDescent="0.25">
      <c r="A195" t="s">
        <v>268</v>
      </c>
      <c r="B195" t="s">
        <v>260</v>
      </c>
      <c r="C195" s="285">
        <v>1</v>
      </c>
      <c r="D195">
        <v>1765.6455737681099</v>
      </c>
      <c r="E195">
        <v>20430906.336406201</v>
      </c>
      <c r="F195">
        <v>10148675.048208499</v>
      </c>
      <c r="G195">
        <v>10150440.693782199</v>
      </c>
      <c r="H195" s="1">
        <v>8.6420325397991595E-5</v>
      </c>
      <c r="I195">
        <v>8.6420325397991594E-3</v>
      </c>
      <c r="J195">
        <v>1.73947676463906E-4</v>
      </c>
      <c r="K195" s="286">
        <v>1.7394767646390599E-2</v>
      </c>
      <c r="L195" s="288" t="s">
        <v>269</v>
      </c>
      <c r="M195" s="288">
        <v>5000</v>
      </c>
      <c r="N195" s="288">
        <v>7</v>
      </c>
      <c r="O195" s="288">
        <v>3.7974493938694884</v>
      </c>
      <c r="P195" s="288">
        <v>7.4480268674001993</v>
      </c>
      <c r="Q195" s="288">
        <v>1.4487063199050798</v>
      </c>
      <c r="R195" s="288" t="s">
        <v>60</v>
      </c>
      <c r="S195" s="288">
        <v>6</v>
      </c>
      <c r="V195" t="s">
        <v>61</v>
      </c>
      <c r="W195" t="s">
        <v>31</v>
      </c>
    </row>
    <row r="196" spans="1:23" x14ac:dyDescent="0.25">
      <c r="A196" t="s">
        <v>270</v>
      </c>
      <c r="B196" t="s">
        <v>260</v>
      </c>
      <c r="C196" s="285">
        <v>1</v>
      </c>
      <c r="D196">
        <v>33475.356144695397</v>
      </c>
      <c r="E196">
        <v>21719233.527229499</v>
      </c>
      <c r="F196">
        <v>11174439.8697534</v>
      </c>
      <c r="G196">
        <v>11207915.2258981</v>
      </c>
      <c r="H196">
        <v>1.5412770484155001E-3</v>
      </c>
      <c r="I196">
        <v>0.15412770484155</v>
      </c>
      <c r="J196">
        <v>2.9867602912755499E-3</v>
      </c>
      <c r="K196" s="286">
        <v>0.29867602912755498</v>
      </c>
      <c r="L196" s="288" t="s">
        <v>269</v>
      </c>
      <c r="M196" s="288">
        <v>5000</v>
      </c>
      <c r="N196" s="288">
        <v>7</v>
      </c>
      <c r="O196" s="288">
        <v>3.6901077054051052</v>
      </c>
      <c r="P196" s="288">
        <v>7.4480268674001993</v>
      </c>
      <c r="Q196" s="288">
        <v>2.6989700043360187</v>
      </c>
      <c r="R196" s="288" t="s">
        <v>60</v>
      </c>
      <c r="S196" s="288">
        <v>2</v>
      </c>
      <c r="V196" t="s">
        <v>61</v>
      </c>
      <c r="W196" t="s">
        <v>31</v>
      </c>
    </row>
    <row r="197" spans="1:23" x14ac:dyDescent="0.25">
      <c r="A197" t="s">
        <v>271</v>
      </c>
      <c r="B197" t="s">
        <v>260</v>
      </c>
      <c r="C197" s="285">
        <v>1</v>
      </c>
      <c r="D197">
        <v>60657.163634488999</v>
      </c>
      <c r="E197">
        <v>17326688.716147199</v>
      </c>
      <c r="F197">
        <v>11668683.170525899</v>
      </c>
      <c r="G197">
        <v>11729340.334160401</v>
      </c>
      <c r="H197">
        <v>3.50079375397105E-3</v>
      </c>
      <c r="I197">
        <v>0.35007937539710499</v>
      </c>
      <c r="J197">
        <v>5.1714045211759697E-3</v>
      </c>
      <c r="K197" s="286">
        <v>0.51714045211759696</v>
      </c>
      <c r="L197" s="288" t="s">
        <v>269</v>
      </c>
      <c r="M197" s="288">
        <v>5000</v>
      </c>
      <c r="N197" s="288">
        <v>1</v>
      </c>
      <c r="O197" s="288">
        <v>3.0256908236697404</v>
      </c>
      <c r="P197" s="288">
        <v>8.478566495593844</v>
      </c>
      <c r="Q197" s="288">
        <v>2.1986570869544226</v>
      </c>
      <c r="R197" s="288" t="s">
        <v>29</v>
      </c>
      <c r="S197" s="288">
        <v>2</v>
      </c>
      <c r="V197" t="s">
        <v>61</v>
      </c>
      <c r="W197" t="s">
        <v>31</v>
      </c>
    </row>
    <row r="198" spans="1:23" x14ac:dyDescent="0.25">
      <c r="A198" t="s">
        <v>272</v>
      </c>
      <c r="B198" t="s">
        <v>260</v>
      </c>
      <c r="C198" s="285">
        <v>2</v>
      </c>
      <c r="D198">
        <v>144594.49611156399</v>
      </c>
      <c r="E198">
        <v>21414991.932411999</v>
      </c>
      <c r="F198">
        <v>11779722.2817993</v>
      </c>
      <c r="G198">
        <v>11924316.777910899</v>
      </c>
      <c r="H198">
        <v>6.7520219745083303E-3</v>
      </c>
      <c r="I198">
        <v>0.67520219745083299</v>
      </c>
      <c r="J198">
        <v>1.2126019360657801E-2</v>
      </c>
      <c r="K198" s="286">
        <v>1.21260193606578</v>
      </c>
      <c r="L198" s="288" t="s">
        <v>269</v>
      </c>
      <c r="M198" s="288">
        <v>5000</v>
      </c>
      <c r="N198" s="288">
        <v>16</v>
      </c>
      <c r="O198" s="288">
        <v>3.5700211229027907</v>
      </c>
      <c r="P198" s="288">
        <v>7.521793974577796</v>
      </c>
      <c r="Q198" s="288">
        <v>1.1986570869544226</v>
      </c>
      <c r="R198" s="288" t="s">
        <v>29</v>
      </c>
      <c r="S198" s="288">
        <v>6</v>
      </c>
      <c r="V198" t="s">
        <v>61</v>
      </c>
      <c r="W198" t="s">
        <v>31</v>
      </c>
    </row>
    <row r="199" spans="1:23" x14ac:dyDescent="0.25">
      <c r="A199" t="s">
        <v>273</v>
      </c>
      <c r="B199" t="s">
        <v>274</v>
      </c>
      <c r="C199" s="285">
        <v>0</v>
      </c>
      <c r="D199">
        <v>0</v>
      </c>
      <c r="E199">
        <v>17856851.088896699</v>
      </c>
      <c r="F199">
        <v>8853699.99824089</v>
      </c>
      <c r="G199">
        <v>8857169.9534241296</v>
      </c>
      <c r="H199" s="1">
        <v>0</v>
      </c>
      <c r="I199">
        <v>0</v>
      </c>
      <c r="J199" s="1">
        <v>0</v>
      </c>
      <c r="K199" s="286">
        <v>0</v>
      </c>
      <c r="L199" s="288" t="s">
        <v>275</v>
      </c>
      <c r="M199" s="288">
        <v>5000</v>
      </c>
      <c r="N199" s="288">
        <v>6</v>
      </c>
      <c r="O199" s="288">
        <v>8.8309464774088902</v>
      </c>
      <c r="P199" s="288">
        <v>8.1619666163640741</v>
      </c>
      <c r="Q199" s="288">
        <v>0</v>
      </c>
      <c r="R199" s="288" t="s">
        <v>60</v>
      </c>
      <c r="S199" s="288">
        <v>6</v>
      </c>
      <c r="V199" t="s">
        <v>61</v>
      </c>
      <c r="W199" t="s">
        <v>26</v>
      </c>
    </row>
    <row r="200" spans="1:23" x14ac:dyDescent="0.25">
      <c r="A200" t="s">
        <v>276</v>
      </c>
      <c r="B200" t="s">
        <v>274</v>
      </c>
      <c r="C200" s="285">
        <v>3</v>
      </c>
      <c r="D200">
        <v>1681413.0483842101</v>
      </c>
      <c r="E200">
        <v>23188322.7044685</v>
      </c>
      <c r="F200">
        <v>15517988.638301199</v>
      </c>
      <c r="G200">
        <v>17199401.686685398</v>
      </c>
      <c r="H200">
        <v>7.2511197546004005E-2</v>
      </c>
      <c r="I200">
        <v>7.2511197546004</v>
      </c>
      <c r="J200">
        <v>9.7759973225454599E-2</v>
      </c>
      <c r="K200" s="286">
        <v>9.7759973225454608</v>
      </c>
      <c r="L200" s="288" t="s">
        <v>275</v>
      </c>
      <c r="M200" s="288">
        <v>5000</v>
      </c>
      <c r="N200" s="288">
        <v>38</v>
      </c>
      <c r="O200" s="288">
        <v>8.9544511137030405</v>
      </c>
      <c r="P200" s="288">
        <v>9.8976270912904418</v>
      </c>
      <c r="Q200" s="288">
        <v>4.6989700043360187</v>
      </c>
      <c r="R200" s="288" t="s">
        <v>29</v>
      </c>
      <c r="S200" s="288">
        <v>6</v>
      </c>
      <c r="V200" t="s">
        <v>61</v>
      </c>
      <c r="W200" t="s">
        <v>31</v>
      </c>
    </row>
    <row r="201" spans="1:23" x14ac:dyDescent="0.25">
      <c r="A201" t="s">
        <v>277</v>
      </c>
      <c r="B201" t="s">
        <v>274</v>
      </c>
      <c r="C201" s="285">
        <v>3</v>
      </c>
      <c r="D201">
        <v>44201.631742900499</v>
      </c>
      <c r="E201">
        <v>19305818.689152099</v>
      </c>
      <c r="F201">
        <v>10118388.571549799</v>
      </c>
      <c r="G201">
        <v>10162590.2032927</v>
      </c>
      <c r="H201">
        <v>2.28954971838295E-3</v>
      </c>
      <c r="I201">
        <v>0.228954971838295</v>
      </c>
      <c r="J201">
        <v>4.3494454522606599E-3</v>
      </c>
      <c r="K201" s="286">
        <v>0.43494454522606601</v>
      </c>
      <c r="L201" s="288" t="s">
        <v>275</v>
      </c>
      <c r="M201" s="288">
        <v>5000</v>
      </c>
      <c r="N201" s="288">
        <v>33</v>
      </c>
      <c r="O201" s="288">
        <v>8.0521466708611236</v>
      </c>
      <c r="P201" s="288">
        <v>9.7403626894942441</v>
      </c>
      <c r="Q201" s="288">
        <v>3.6989700043360187</v>
      </c>
      <c r="R201" s="288" t="s">
        <v>29</v>
      </c>
      <c r="S201" s="288">
        <v>6</v>
      </c>
      <c r="V201" t="s">
        <v>25</v>
      </c>
      <c r="W201" t="s">
        <v>31</v>
      </c>
    </row>
    <row r="202" spans="1:23" x14ac:dyDescent="0.25">
      <c r="A202" s="3" t="s">
        <v>278</v>
      </c>
      <c r="B202" s="3" t="s">
        <v>279</v>
      </c>
      <c r="C202" s="294">
        <v>0</v>
      </c>
      <c r="D202" s="3">
        <v>0</v>
      </c>
      <c r="E202" s="3">
        <v>35194611.1607728</v>
      </c>
      <c r="F202" s="3">
        <v>13305776.296363899</v>
      </c>
      <c r="G202" s="3">
        <v>13305988.8591343</v>
      </c>
      <c r="H202" s="295">
        <v>0</v>
      </c>
      <c r="I202" s="3">
        <v>0</v>
      </c>
      <c r="J202" s="295">
        <v>0</v>
      </c>
      <c r="K202" s="296">
        <v>0</v>
      </c>
      <c r="L202" s="293" t="s">
        <v>110</v>
      </c>
      <c r="M202" s="293"/>
      <c r="N202" s="293"/>
      <c r="O202" s="293"/>
      <c r="P202" s="293"/>
      <c r="Q202" s="293"/>
      <c r="R202" s="293"/>
      <c r="S202" s="293"/>
      <c r="T202" s="293"/>
      <c r="U202" s="301"/>
      <c r="W202" t="s">
        <v>26</v>
      </c>
    </row>
    <row r="203" spans="1:23" x14ac:dyDescent="0.25">
      <c r="A203" s="3" t="s">
        <v>280</v>
      </c>
      <c r="B203" s="3" t="s">
        <v>279</v>
      </c>
      <c r="C203" s="294">
        <v>0</v>
      </c>
      <c r="D203" s="3">
        <v>0</v>
      </c>
      <c r="E203" s="3">
        <v>24204186.2058607</v>
      </c>
      <c r="F203" s="3">
        <v>10047830.8940135</v>
      </c>
      <c r="G203" s="3">
        <v>10049042.1845915</v>
      </c>
      <c r="H203" s="295">
        <v>0</v>
      </c>
      <c r="I203" s="3">
        <v>0</v>
      </c>
      <c r="J203" s="295">
        <v>0</v>
      </c>
      <c r="K203" s="296">
        <v>0</v>
      </c>
      <c r="L203" s="293" t="s">
        <v>110</v>
      </c>
      <c r="M203" s="293"/>
      <c r="N203" s="293"/>
      <c r="O203" s="293"/>
      <c r="P203" s="293"/>
      <c r="Q203" s="293"/>
      <c r="R203" s="293"/>
      <c r="S203" s="293"/>
      <c r="T203" s="293"/>
      <c r="U203" s="301"/>
      <c r="W203" t="s">
        <v>26</v>
      </c>
    </row>
    <row r="204" spans="1:23" x14ac:dyDescent="0.25">
      <c r="A204" s="3" t="s">
        <v>281</v>
      </c>
      <c r="B204" s="3" t="s">
        <v>279</v>
      </c>
      <c r="C204" s="294">
        <v>0</v>
      </c>
      <c r="D204" s="3">
        <v>0</v>
      </c>
      <c r="E204" s="3">
        <v>26502353.069694299</v>
      </c>
      <c r="F204" s="3">
        <v>9281266.3551683594</v>
      </c>
      <c r="G204" s="3">
        <v>9281982.5119250193</v>
      </c>
      <c r="H204" s="295">
        <v>0</v>
      </c>
      <c r="I204" s="3">
        <v>0</v>
      </c>
      <c r="J204" s="295">
        <v>0</v>
      </c>
      <c r="K204" s="296">
        <v>0</v>
      </c>
      <c r="L204" s="293" t="s">
        <v>110</v>
      </c>
      <c r="M204" s="293"/>
      <c r="N204" s="293"/>
      <c r="O204" s="293"/>
      <c r="P204" s="293"/>
      <c r="Q204" s="293"/>
      <c r="R204" s="293"/>
      <c r="S204" s="293"/>
      <c r="T204" s="293"/>
      <c r="U204" s="301"/>
      <c r="W204" t="s">
        <v>26</v>
      </c>
    </row>
    <row r="205" spans="1:23" x14ac:dyDescent="0.25">
      <c r="A205" s="3" t="s">
        <v>282</v>
      </c>
      <c r="B205" s="3" t="s">
        <v>279</v>
      </c>
      <c r="C205" s="294">
        <v>0</v>
      </c>
      <c r="D205" s="3">
        <v>0</v>
      </c>
      <c r="E205" s="3">
        <v>28315968.498512398</v>
      </c>
      <c r="F205" s="3">
        <v>10084972.176170699</v>
      </c>
      <c r="G205" s="3">
        <v>10085076.0252419</v>
      </c>
      <c r="H205" s="295">
        <v>0</v>
      </c>
      <c r="I205" s="3">
        <v>0</v>
      </c>
      <c r="J205" s="295">
        <v>0</v>
      </c>
      <c r="K205" s="296">
        <v>0</v>
      </c>
      <c r="L205" s="293" t="s">
        <v>110</v>
      </c>
      <c r="M205" s="293"/>
      <c r="N205" s="293"/>
      <c r="O205" s="293"/>
      <c r="P205" s="293"/>
      <c r="Q205" s="293"/>
      <c r="R205" s="293"/>
      <c r="S205" s="293"/>
      <c r="T205" s="293"/>
      <c r="U205" s="301"/>
      <c r="W205" t="s">
        <v>26</v>
      </c>
    </row>
    <row r="206" spans="1:23" x14ac:dyDescent="0.25">
      <c r="A206" s="3" t="s">
        <v>283</v>
      </c>
      <c r="B206" s="3" t="s">
        <v>279</v>
      </c>
      <c r="C206" s="294">
        <v>0</v>
      </c>
      <c r="D206" s="3">
        <v>0</v>
      </c>
      <c r="E206" s="3">
        <v>26526630.290554099</v>
      </c>
      <c r="F206" s="3">
        <v>10231354.7006952</v>
      </c>
      <c r="G206" s="3">
        <v>10231876.695617201</v>
      </c>
      <c r="H206" s="295">
        <v>0</v>
      </c>
      <c r="I206" s="3">
        <v>0</v>
      </c>
      <c r="J206" s="295">
        <v>0</v>
      </c>
      <c r="K206" s="296">
        <v>0</v>
      </c>
      <c r="L206" s="293" t="s">
        <v>110</v>
      </c>
      <c r="M206" s="293"/>
      <c r="N206" s="293"/>
      <c r="O206" s="293"/>
      <c r="P206" s="293"/>
      <c r="Q206" s="293"/>
      <c r="R206" s="293"/>
      <c r="S206" s="293"/>
      <c r="T206" s="293"/>
      <c r="U206" s="301"/>
      <c r="W206" t="s">
        <v>26</v>
      </c>
    </row>
    <row r="207" spans="1:23" x14ac:dyDescent="0.25">
      <c r="A207" t="s">
        <v>284</v>
      </c>
      <c r="B207" t="s">
        <v>279</v>
      </c>
      <c r="C207" s="285">
        <v>0</v>
      </c>
      <c r="D207">
        <v>0</v>
      </c>
      <c r="E207">
        <v>33048052.212556999</v>
      </c>
      <c r="F207">
        <v>11671680.627595199</v>
      </c>
      <c r="G207">
        <v>11675725.4534378</v>
      </c>
      <c r="H207" s="1">
        <v>0</v>
      </c>
      <c r="I207">
        <v>0</v>
      </c>
      <c r="J207" s="1">
        <v>0</v>
      </c>
      <c r="K207" s="286">
        <v>0</v>
      </c>
      <c r="L207" s="288" t="s">
        <v>53</v>
      </c>
      <c r="M207" s="288">
        <v>2000000</v>
      </c>
      <c r="N207" s="288">
        <v>1</v>
      </c>
      <c r="O207" s="288" t="s">
        <v>59</v>
      </c>
      <c r="P207" s="288">
        <v>6.4414022280162895</v>
      </c>
      <c r="Q207" s="288">
        <v>3.1989700043360196</v>
      </c>
      <c r="R207" s="288" t="s">
        <v>29</v>
      </c>
      <c r="S207" s="288">
        <v>1</v>
      </c>
      <c r="U207" s="291" t="s">
        <v>285</v>
      </c>
      <c r="W207" t="s">
        <v>26</v>
      </c>
    </row>
    <row r="208" spans="1:23" x14ac:dyDescent="0.25">
      <c r="A208" t="s">
        <v>286</v>
      </c>
      <c r="B208" t="s">
        <v>279</v>
      </c>
      <c r="C208" s="285">
        <v>2</v>
      </c>
      <c r="D208">
        <v>71894.011294528696</v>
      </c>
      <c r="E208">
        <v>32574042.088106699</v>
      </c>
      <c r="F208">
        <v>11511088.312042501</v>
      </c>
      <c r="G208">
        <v>11582982.323337</v>
      </c>
      <c r="H208">
        <v>2.2070951802686499E-3</v>
      </c>
      <c r="I208">
        <v>0.220709518026865</v>
      </c>
      <c r="J208">
        <v>6.2068653208318001E-3</v>
      </c>
      <c r="K208" s="286">
        <v>0.62068653208318003</v>
      </c>
      <c r="L208" s="288" t="s">
        <v>53</v>
      </c>
      <c r="M208" s="288">
        <v>2000000</v>
      </c>
      <c r="N208" s="288">
        <v>8</v>
      </c>
      <c r="O208" s="288" t="s">
        <v>59</v>
      </c>
      <c r="P208" s="288">
        <v>10.970991384615543</v>
      </c>
      <c r="Q208" s="288">
        <v>6.4489700043360196</v>
      </c>
      <c r="R208" s="288" t="s">
        <v>29</v>
      </c>
      <c r="S208" s="288">
        <v>1</v>
      </c>
      <c r="U208" s="291" t="s">
        <v>285</v>
      </c>
      <c r="W208" t="s">
        <v>31</v>
      </c>
    </row>
    <row r="209" spans="1:23" x14ac:dyDescent="0.25">
      <c r="A209" t="s">
        <v>287</v>
      </c>
      <c r="B209" t="s">
        <v>279</v>
      </c>
      <c r="C209" s="285">
        <v>2</v>
      </c>
      <c r="D209">
        <v>38253.467482979497</v>
      </c>
      <c r="E209">
        <v>28564448.114285599</v>
      </c>
      <c r="F209">
        <v>11380796.486048</v>
      </c>
      <c r="G209">
        <v>11419049.953531001</v>
      </c>
      <c r="H209">
        <v>1.33919854953711E-3</v>
      </c>
      <c r="I209">
        <v>0.133919854953711</v>
      </c>
      <c r="J209">
        <v>3.3499693616061798E-3</v>
      </c>
      <c r="K209" s="286">
        <v>0.33499693616061799</v>
      </c>
      <c r="L209" s="288" t="s">
        <v>53</v>
      </c>
      <c r="M209" s="288">
        <v>2000000</v>
      </c>
      <c r="N209" s="288">
        <v>33</v>
      </c>
      <c r="O209" s="288" t="s">
        <v>59</v>
      </c>
      <c r="P209" s="288">
        <v>10.502098454477627</v>
      </c>
      <c r="Q209" s="288">
        <v>6.9489700043360187</v>
      </c>
      <c r="R209" s="288" t="s">
        <v>29</v>
      </c>
      <c r="S209" s="288">
        <v>2</v>
      </c>
      <c r="U209" s="291" t="s">
        <v>285</v>
      </c>
      <c r="W209" t="s">
        <v>31</v>
      </c>
    </row>
    <row r="210" spans="1:23" x14ac:dyDescent="0.25">
      <c r="A210" t="s">
        <v>288</v>
      </c>
      <c r="B210" t="s">
        <v>279</v>
      </c>
      <c r="C210" s="285">
        <v>0</v>
      </c>
      <c r="D210">
        <v>0</v>
      </c>
      <c r="E210">
        <v>29655460.562118098</v>
      </c>
      <c r="F210">
        <v>11399104.306578601</v>
      </c>
      <c r="G210">
        <v>11399296.776321899</v>
      </c>
      <c r="H210" s="1">
        <v>0</v>
      </c>
      <c r="I210">
        <v>0</v>
      </c>
      <c r="J210" s="1">
        <v>0</v>
      </c>
      <c r="K210" s="286">
        <v>0</v>
      </c>
      <c r="L210" s="288" t="s">
        <v>53</v>
      </c>
      <c r="M210" s="288">
        <v>2000000</v>
      </c>
      <c r="N210" s="288">
        <v>3</v>
      </c>
      <c r="O210" s="288" t="s">
        <v>59</v>
      </c>
      <c r="P210" s="288">
        <v>7.6944781620055505</v>
      </c>
      <c r="Q210" s="288">
        <v>3.6989700043360201</v>
      </c>
      <c r="R210" s="288" t="s">
        <v>29</v>
      </c>
      <c r="S210" s="288">
        <v>2</v>
      </c>
      <c r="U210" s="291" t="s">
        <v>285</v>
      </c>
      <c r="W210" t="s">
        <v>26</v>
      </c>
    </row>
    <row r="211" spans="1:23" x14ac:dyDescent="0.25">
      <c r="A211" t="s">
        <v>289</v>
      </c>
      <c r="B211" t="s">
        <v>279</v>
      </c>
      <c r="C211" s="285">
        <v>0</v>
      </c>
      <c r="D211">
        <v>0</v>
      </c>
      <c r="E211">
        <v>26495838.425066799</v>
      </c>
      <c r="F211">
        <v>9440137.4970583301</v>
      </c>
      <c r="G211">
        <v>9442352.16842838</v>
      </c>
      <c r="H211" s="1">
        <v>0</v>
      </c>
      <c r="I211">
        <v>0</v>
      </c>
      <c r="J211" s="1">
        <v>0</v>
      </c>
      <c r="K211" s="286">
        <v>0</v>
      </c>
      <c r="L211" s="288" t="s">
        <v>53</v>
      </c>
      <c r="M211" s="288">
        <v>2000000</v>
      </c>
      <c r="N211" s="288">
        <v>3</v>
      </c>
      <c r="O211" s="288" t="s">
        <v>59</v>
      </c>
      <c r="P211" s="288">
        <v>6.370729266910967</v>
      </c>
      <c r="Q211" s="288">
        <v>4.1989700043360196</v>
      </c>
      <c r="R211" s="288" t="s">
        <v>29</v>
      </c>
      <c r="S211" s="288">
        <v>1</v>
      </c>
      <c r="U211" s="291" t="s">
        <v>285</v>
      </c>
      <c r="W211" t="s">
        <v>26</v>
      </c>
    </row>
    <row r="212" spans="1:23" x14ac:dyDescent="0.25">
      <c r="A212" t="s">
        <v>290</v>
      </c>
      <c r="B212" t="s">
        <v>279</v>
      </c>
      <c r="C212" s="285">
        <v>2</v>
      </c>
      <c r="D212">
        <v>235318.81743632199</v>
      </c>
      <c r="E212">
        <v>30245980.177640501</v>
      </c>
      <c r="F212">
        <v>13503026.784538001</v>
      </c>
      <c r="G212">
        <v>13738345.601974299</v>
      </c>
      <c r="H212">
        <v>7.7801683415200601E-3</v>
      </c>
      <c r="I212">
        <v>0.77801683415200595</v>
      </c>
      <c r="J212">
        <v>1.7128613899660802E-2</v>
      </c>
      <c r="K212" s="286">
        <v>1.7128613899660801</v>
      </c>
      <c r="L212" s="288" t="s">
        <v>53</v>
      </c>
      <c r="M212" s="288">
        <v>2000000</v>
      </c>
      <c r="N212" s="288">
        <v>34</v>
      </c>
      <c r="O212" s="288" t="s">
        <v>59</v>
      </c>
      <c r="P212" s="288">
        <v>11.09695094260031</v>
      </c>
      <c r="Q212" s="288">
        <v>7.9489700043360196</v>
      </c>
      <c r="R212" s="288" t="s">
        <v>29</v>
      </c>
      <c r="S212" s="288">
        <v>1</v>
      </c>
      <c r="U212" s="291" t="s">
        <v>285</v>
      </c>
      <c r="W212" t="s">
        <v>31</v>
      </c>
    </row>
    <row r="213" spans="1:23" x14ac:dyDescent="0.25">
      <c r="A213" t="s">
        <v>291</v>
      </c>
      <c r="B213" t="s">
        <v>279</v>
      </c>
      <c r="C213" s="285">
        <v>2</v>
      </c>
      <c r="D213">
        <v>57109.374745416499</v>
      </c>
      <c r="E213">
        <v>26367379.9613043</v>
      </c>
      <c r="F213">
        <v>11273880.5054734</v>
      </c>
      <c r="G213">
        <v>11330989.880218901</v>
      </c>
      <c r="H213">
        <v>2.1659101067010699E-3</v>
      </c>
      <c r="I213">
        <v>0.216591010670107</v>
      </c>
      <c r="J213">
        <v>5.0401046465600799E-3</v>
      </c>
      <c r="K213" s="286">
        <v>0.50401046465600796</v>
      </c>
      <c r="L213" s="288" t="s">
        <v>53</v>
      </c>
      <c r="M213" s="288">
        <v>2000000</v>
      </c>
      <c r="N213" s="288">
        <v>27</v>
      </c>
      <c r="O213" s="288" t="s">
        <v>59</v>
      </c>
      <c r="P213" s="288">
        <v>10.131521783884759</v>
      </c>
      <c r="Q213" s="288">
        <v>6.9489700043360187</v>
      </c>
      <c r="R213" s="288" t="s">
        <v>29</v>
      </c>
      <c r="S213" s="288">
        <v>2</v>
      </c>
      <c r="U213" s="291" t="s">
        <v>285</v>
      </c>
      <c r="W213" t="s">
        <v>31</v>
      </c>
    </row>
    <row r="214" spans="1:23" x14ac:dyDescent="0.25">
      <c r="A214" t="s">
        <v>292</v>
      </c>
      <c r="B214" t="s">
        <v>279</v>
      </c>
      <c r="C214" s="285">
        <v>2</v>
      </c>
      <c r="D214">
        <v>74554.751146493494</v>
      </c>
      <c r="E214">
        <v>23098798.4055067</v>
      </c>
      <c r="F214">
        <v>9057959.1608207598</v>
      </c>
      <c r="G214">
        <v>9132513.9119672496</v>
      </c>
      <c r="H214">
        <v>3.2276462973381201E-3</v>
      </c>
      <c r="I214">
        <v>0.32276462973381198</v>
      </c>
      <c r="J214">
        <v>8.1636613823053497E-3</v>
      </c>
      <c r="K214" s="286">
        <v>0.81636613823053505</v>
      </c>
      <c r="L214" s="288" t="s">
        <v>53</v>
      </c>
      <c r="M214" s="288">
        <v>2000000</v>
      </c>
      <c r="N214" s="288">
        <v>32</v>
      </c>
      <c r="O214" s="288" t="s">
        <v>59</v>
      </c>
      <c r="P214" s="288">
        <v>10.97646788713662</v>
      </c>
      <c r="Q214" s="288">
        <v>8.1989700043360205</v>
      </c>
      <c r="R214" s="288" t="s">
        <v>29</v>
      </c>
      <c r="S214" s="288">
        <v>2</v>
      </c>
      <c r="U214" s="291" t="s">
        <v>285</v>
      </c>
      <c r="W214" t="s">
        <v>31</v>
      </c>
    </row>
    <row r="215" spans="1:23" x14ac:dyDescent="0.25">
      <c r="A215" t="s">
        <v>293</v>
      </c>
      <c r="B215" t="s">
        <v>279</v>
      </c>
      <c r="C215" s="285">
        <v>2</v>
      </c>
      <c r="D215">
        <v>44629.084462112303</v>
      </c>
      <c r="E215">
        <v>27911525.0216644</v>
      </c>
      <c r="F215">
        <v>9395760.3671241105</v>
      </c>
      <c r="G215">
        <v>9440389.4515862204</v>
      </c>
      <c r="H215">
        <v>1.5989482633955701E-3</v>
      </c>
      <c r="I215">
        <v>0.15989482633955701</v>
      </c>
      <c r="J215">
        <v>4.7274622186920003E-3</v>
      </c>
      <c r="K215" s="286">
        <v>0.47274622186920001</v>
      </c>
      <c r="L215" s="288" t="s">
        <v>53</v>
      </c>
      <c r="M215" s="288">
        <v>2000000</v>
      </c>
      <c r="N215" s="288">
        <v>34</v>
      </c>
      <c r="O215" s="288" t="s">
        <v>59</v>
      </c>
      <c r="P215" s="288">
        <v>10.422297989170506</v>
      </c>
      <c r="Q215" s="288">
        <v>5.1989700043360187</v>
      </c>
      <c r="R215" s="288" t="s">
        <v>29</v>
      </c>
      <c r="S215" s="288">
        <v>2</v>
      </c>
      <c r="U215" s="291" t="s">
        <v>285</v>
      </c>
      <c r="W215" t="s">
        <v>31</v>
      </c>
    </row>
    <row r="216" spans="1:23" x14ac:dyDescent="0.25">
      <c r="A216" t="s">
        <v>294</v>
      </c>
      <c r="B216" t="s">
        <v>279</v>
      </c>
      <c r="C216" s="285">
        <v>1</v>
      </c>
      <c r="D216">
        <v>26425.677192757699</v>
      </c>
      <c r="E216">
        <v>34281281.807124503</v>
      </c>
      <c r="F216">
        <v>11935332.0929759</v>
      </c>
      <c r="G216">
        <v>11961757.770168699</v>
      </c>
      <c r="H216">
        <v>7.7084857390792702E-4</v>
      </c>
      <c r="I216">
        <v>7.7084857390792696E-2</v>
      </c>
      <c r="J216">
        <v>2.2091800971476201E-3</v>
      </c>
      <c r="K216" s="286">
        <v>0.220918009714762</v>
      </c>
      <c r="L216" s="288" t="s">
        <v>53</v>
      </c>
      <c r="M216" s="288">
        <v>2000000</v>
      </c>
      <c r="N216" s="288">
        <v>37</v>
      </c>
      <c r="O216" s="288" t="s">
        <v>59</v>
      </c>
      <c r="P216" s="288">
        <v>9.0912470907144893</v>
      </c>
      <c r="Q216" s="288">
        <v>4.4489700043360187</v>
      </c>
      <c r="R216" s="288" t="s">
        <v>29</v>
      </c>
      <c r="S216" s="288">
        <v>2</v>
      </c>
      <c r="U216" s="291" t="s">
        <v>285</v>
      </c>
      <c r="W216" t="s">
        <v>31</v>
      </c>
    </row>
    <row r="217" spans="1:23" x14ac:dyDescent="0.25">
      <c r="A217" t="s">
        <v>295</v>
      </c>
      <c r="B217" t="s">
        <v>279</v>
      </c>
      <c r="C217" s="285">
        <v>1</v>
      </c>
      <c r="D217">
        <v>28225.163325192301</v>
      </c>
      <c r="E217">
        <v>26579306.9262169</v>
      </c>
      <c r="F217">
        <v>8622150.6593087595</v>
      </c>
      <c r="G217">
        <v>8650375.8226339594</v>
      </c>
      <c r="H217">
        <v>1.06192247237838E-3</v>
      </c>
      <c r="I217">
        <v>0.106192247237838</v>
      </c>
      <c r="J217">
        <v>3.2628828971037701E-3</v>
      </c>
      <c r="K217" s="286">
        <v>0.32628828971037599</v>
      </c>
      <c r="L217" s="288" t="s">
        <v>53</v>
      </c>
      <c r="M217" s="288">
        <v>2000000</v>
      </c>
      <c r="N217" s="288">
        <v>37</v>
      </c>
      <c r="O217" s="288" t="s">
        <v>59</v>
      </c>
      <c r="P217" s="288">
        <v>8.5263849735405604</v>
      </c>
      <c r="Q217" s="288">
        <v>6.9489700043360187</v>
      </c>
      <c r="R217" s="288" t="s">
        <v>29</v>
      </c>
      <c r="S217" s="288">
        <v>2</v>
      </c>
      <c r="U217" s="291" t="s">
        <v>285</v>
      </c>
      <c r="W217" t="s">
        <v>31</v>
      </c>
    </row>
    <row r="218" spans="1:23" x14ac:dyDescent="0.25">
      <c r="A218" t="s">
        <v>296</v>
      </c>
      <c r="B218" t="s">
        <v>279</v>
      </c>
      <c r="C218" s="285">
        <v>0</v>
      </c>
      <c r="D218">
        <v>0</v>
      </c>
      <c r="E218">
        <v>22842887.741691601</v>
      </c>
      <c r="F218">
        <v>7812560.9324413398</v>
      </c>
      <c r="G218">
        <v>7822129.6413211701</v>
      </c>
      <c r="H218" s="1">
        <v>0</v>
      </c>
      <c r="I218">
        <v>0</v>
      </c>
      <c r="J218" s="1">
        <v>0</v>
      </c>
      <c r="K218" s="286">
        <v>0</v>
      </c>
      <c r="L218" s="288" t="s">
        <v>53</v>
      </c>
      <c r="M218" s="288">
        <v>2000000</v>
      </c>
      <c r="N218" s="288">
        <v>2</v>
      </c>
      <c r="O218" s="288" t="s">
        <v>59</v>
      </c>
      <c r="P218" s="288">
        <v>9.9740071399452148</v>
      </c>
      <c r="Q218" s="288">
        <v>4.9489700043360196</v>
      </c>
      <c r="R218" s="288" t="s">
        <v>29</v>
      </c>
      <c r="S218" s="288">
        <v>2</v>
      </c>
      <c r="U218" s="291" t="s">
        <v>285</v>
      </c>
      <c r="W218" t="s">
        <v>26</v>
      </c>
    </row>
    <row r="219" spans="1:23" x14ac:dyDescent="0.25">
      <c r="A219" t="s">
        <v>297</v>
      </c>
      <c r="B219" t="s">
        <v>279</v>
      </c>
      <c r="C219" s="285">
        <v>2</v>
      </c>
      <c r="D219">
        <v>133125.21268282799</v>
      </c>
      <c r="E219">
        <v>25729025.282720201</v>
      </c>
      <c r="F219">
        <v>9231961.44034856</v>
      </c>
      <c r="G219">
        <v>9365086.6530313902</v>
      </c>
      <c r="H219">
        <v>5.1741257672997002E-3</v>
      </c>
      <c r="I219">
        <v>0.51741257672996999</v>
      </c>
      <c r="J219">
        <v>1.4215054020854901E-2</v>
      </c>
      <c r="K219" s="286">
        <v>1.42150540208549</v>
      </c>
      <c r="L219" s="288" t="s">
        <v>53</v>
      </c>
      <c r="M219" s="288">
        <v>2000000</v>
      </c>
      <c r="N219" s="288">
        <v>22</v>
      </c>
      <c r="O219" s="288" t="s">
        <v>59</v>
      </c>
      <c r="P219" s="288">
        <v>10.948303017028222</v>
      </c>
      <c r="Q219" s="288">
        <v>7.6989700043360187</v>
      </c>
      <c r="R219" s="288" t="s">
        <v>29</v>
      </c>
      <c r="S219" s="288">
        <v>1</v>
      </c>
      <c r="U219" s="291" t="s">
        <v>285</v>
      </c>
      <c r="W219" t="s">
        <v>31</v>
      </c>
    </row>
    <row r="220" spans="1:23" x14ac:dyDescent="0.25">
      <c r="A220" t="s">
        <v>298</v>
      </c>
      <c r="B220" t="s">
        <v>279</v>
      </c>
      <c r="C220" s="285">
        <v>1</v>
      </c>
      <c r="D220">
        <v>26423.771007964198</v>
      </c>
      <c r="E220">
        <v>38609149.522483498</v>
      </c>
      <c r="F220">
        <v>16938749.5220934</v>
      </c>
      <c r="G220">
        <v>16965173.2931013</v>
      </c>
      <c r="H220">
        <v>6.8439142883933905E-4</v>
      </c>
      <c r="I220">
        <v>6.8439142883933907E-2</v>
      </c>
      <c r="J220">
        <v>1.55753027401783E-3</v>
      </c>
      <c r="K220" s="286">
        <v>0.15575302740178301</v>
      </c>
      <c r="L220" s="288" t="s">
        <v>53</v>
      </c>
      <c r="M220" s="288">
        <v>2000000</v>
      </c>
      <c r="N220" s="288">
        <v>35</v>
      </c>
      <c r="O220" s="288" t="s">
        <v>59</v>
      </c>
      <c r="P220" s="288">
        <v>10.584767563962455</v>
      </c>
      <c r="Q220" s="288">
        <v>6.9489700043360187</v>
      </c>
      <c r="R220" s="288" t="s">
        <v>29</v>
      </c>
      <c r="S220" s="288">
        <v>2</v>
      </c>
      <c r="U220" s="291" t="s">
        <v>285</v>
      </c>
      <c r="W220" t="s">
        <v>31</v>
      </c>
    </row>
    <row r="221" spans="1:23" x14ac:dyDescent="0.25">
      <c r="A221" t="s">
        <v>299</v>
      </c>
      <c r="B221" t="s">
        <v>279</v>
      </c>
      <c r="C221" s="285">
        <v>1</v>
      </c>
      <c r="D221">
        <v>32390.968238331199</v>
      </c>
      <c r="E221">
        <v>28413304.885367401</v>
      </c>
      <c r="F221">
        <v>11234163.0356624</v>
      </c>
      <c r="G221">
        <v>11266554.0039008</v>
      </c>
      <c r="H221">
        <v>1.13999298458984E-3</v>
      </c>
      <c r="I221">
        <v>0.113999298458984</v>
      </c>
      <c r="J221">
        <v>2.8749667579915299E-3</v>
      </c>
      <c r="K221" s="286">
        <v>0.287496675799153</v>
      </c>
      <c r="L221" s="288" t="s">
        <v>53</v>
      </c>
      <c r="M221" s="288">
        <v>2000000</v>
      </c>
      <c r="N221" s="288">
        <v>33</v>
      </c>
      <c r="O221" s="288" t="s">
        <v>59</v>
      </c>
      <c r="P221" s="288">
        <v>10.340150451354353</v>
      </c>
      <c r="Q221" s="288">
        <v>6.9489700043360187</v>
      </c>
      <c r="R221" s="288" t="s">
        <v>29</v>
      </c>
      <c r="S221" s="288">
        <v>2</v>
      </c>
      <c r="U221" s="291" t="s">
        <v>285</v>
      </c>
      <c r="W221" t="s">
        <v>31</v>
      </c>
    </row>
    <row r="222" spans="1:23" x14ac:dyDescent="0.25">
      <c r="A222" t="s">
        <v>300</v>
      </c>
      <c r="B222" t="s">
        <v>279</v>
      </c>
      <c r="C222" s="285">
        <v>2</v>
      </c>
      <c r="D222">
        <v>58046.342413368198</v>
      </c>
      <c r="E222">
        <v>19468514.692887899</v>
      </c>
      <c r="F222">
        <v>5673798.37267562</v>
      </c>
      <c r="G222">
        <v>5731844.7150889803</v>
      </c>
      <c r="H222">
        <v>2.9815496112075299E-3</v>
      </c>
      <c r="I222">
        <v>0.29815496112075301</v>
      </c>
      <c r="J222">
        <v>1.0126991448418299E-2</v>
      </c>
      <c r="K222" s="286">
        <v>1.0126991448418301</v>
      </c>
      <c r="L222" s="288" t="s">
        <v>53</v>
      </c>
      <c r="M222" s="288">
        <v>2000000</v>
      </c>
      <c r="N222" s="288">
        <v>0</v>
      </c>
      <c r="O222" s="288" t="s">
        <v>59</v>
      </c>
      <c r="P222" s="288">
        <v>10.945173587016178</v>
      </c>
      <c r="Q222" s="288">
        <v>7.6989700043360187</v>
      </c>
      <c r="R222" s="288" t="s">
        <v>29</v>
      </c>
      <c r="S222" s="288">
        <v>1</v>
      </c>
      <c r="U222" s="291" t="s">
        <v>285</v>
      </c>
      <c r="W222" t="s">
        <v>31</v>
      </c>
    </row>
    <row r="223" spans="1:23" x14ac:dyDescent="0.25">
      <c r="A223" t="s">
        <v>301</v>
      </c>
      <c r="B223" t="s">
        <v>279</v>
      </c>
      <c r="C223" s="285">
        <v>0</v>
      </c>
      <c r="D223">
        <v>0</v>
      </c>
      <c r="E223">
        <v>25280327.799345501</v>
      </c>
      <c r="F223">
        <v>7812668.0596962599</v>
      </c>
      <c r="G223">
        <v>7812692.8058098303</v>
      </c>
      <c r="H223" s="1">
        <v>0</v>
      </c>
      <c r="I223">
        <v>0</v>
      </c>
      <c r="J223" s="1">
        <v>0</v>
      </c>
      <c r="K223" s="286">
        <v>0</v>
      </c>
      <c r="L223" s="288" t="s">
        <v>53</v>
      </c>
      <c r="M223" s="288">
        <v>2000000</v>
      </c>
      <c r="N223" s="288">
        <v>1</v>
      </c>
      <c r="O223" s="288" t="s">
        <v>59</v>
      </c>
      <c r="P223" s="288">
        <v>10.008691655912035</v>
      </c>
      <c r="Q223" s="288">
        <v>5.9489700043360187</v>
      </c>
      <c r="R223" s="288" t="s">
        <v>29</v>
      </c>
      <c r="S223" s="288">
        <v>1</v>
      </c>
      <c r="U223" s="291" t="s">
        <v>285</v>
      </c>
      <c r="W223" t="s">
        <v>26</v>
      </c>
    </row>
    <row r="224" spans="1:23" x14ac:dyDescent="0.25">
      <c r="A224" t="s">
        <v>302</v>
      </c>
      <c r="B224" t="s">
        <v>279</v>
      </c>
      <c r="C224" s="285">
        <v>2</v>
      </c>
      <c r="D224">
        <v>37203.985326320799</v>
      </c>
      <c r="E224">
        <v>25842733.8902619</v>
      </c>
      <c r="F224">
        <v>10712161.064748799</v>
      </c>
      <c r="G224">
        <v>10749365.050075101</v>
      </c>
      <c r="H224">
        <v>1.4396303999531499E-3</v>
      </c>
      <c r="I224">
        <v>0.14396303999531501</v>
      </c>
      <c r="J224">
        <v>3.4610402710307602E-3</v>
      </c>
      <c r="K224" s="286">
        <v>0.34610402710307597</v>
      </c>
      <c r="L224" s="288" t="s">
        <v>53</v>
      </c>
      <c r="M224" s="288">
        <v>2000000</v>
      </c>
      <c r="N224" s="288">
        <v>13</v>
      </c>
      <c r="O224" s="288" t="s">
        <v>59</v>
      </c>
      <c r="P224" s="288">
        <v>7.7544589039030569</v>
      </c>
      <c r="Q224" s="288">
        <v>5.4489700043360196</v>
      </c>
      <c r="R224" s="288" t="s">
        <v>29</v>
      </c>
      <c r="S224" s="288">
        <v>1</v>
      </c>
      <c r="U224" s="291" t="s">
        <v>285</v>
      </c>
      <c r="W224" t="s">
        <v>31</v>
      </c>
    </row>
    <row r="225" spans="1:23" x14ac:dyDescent="0.25">
      <c r="A225" t="s">
        <v>303</v>
      </c>
      <c r="B225" t="s">
        <v>279</v>
      </c>
      <c r="C225" s="285">
        <v>1</v>
      </c>
      <c r="D225">
        <v>10959.3544250834</v>
      </c>
      <c r="E225">
        <v>24703841.722086102</v>
      </c>
      <c r="F225">
        <v>11596306.4105487</v>
      </c>
      <c r="G225">
        <v>11607265.764973801</v>
      </c>
      <c r="H225">
        <v>4.4362955966016101E-4</v>
      </c>
      <c r="I225">
        <v>4.4362955966016103E-2</v>
      </c>
      <c r="J225">
        <v>9.4418053717305395E-4</v>
      </c>
      <c r="K225" s="286">
        <v>9.4418053717305397E-2</v>
      </c>
      <c r="L225" s="288" t="s">
        <v>53</v>
      </c>
      <c r="M225" s="288">
        <v>2000000</v>
      </c>
      <c r="N225" s="288">
        <v>28</v>
      </c>
      <c r="O225" s="288" t="s">
        <v>59</v>
      </c>
      <c r="P225" s="288">
        <v>10.903447853522261</v>
      </c>
      <c r="Q225" s="288">
        <v>6.9489700043360187</v>
      </c>
      <c r="R225" s="288" t="s">
        <v>29</v>
      </c>
      <c r="S225" s="288">
        <v>2</v>
      </c>
      <c r="U225" s="291" t="s">
        <v>285</v>
      </c>
      <c r="W225" t="s">
        <v>31</v>
      </c>
    </row>
    <row r="226" spans="1:23" x14ac:dyDescent="0.25">
      <c r="A226" t="s">
        <v>304</v>
      </c>
      <c r="B226" t="s">
        <v>279</v>
      </c>
      <c r="C226" s="285">
        <v>2</v>
      </c>
      <c r="D226">
        <v>47096.925041831797</v>
      </c>
      <c r="E226">
        <v>28568488.598381799</v>
      </c>
      <c r="F226">
        <v>9949361.4658202492</v>
      </c>
      <c r="G226">
        <v>9996458.3908620905</v>
      </c>
      <c r="H226">
        <v>1.64856201193994E-3</v>
      </c>
      <c r="I226">
        <v>0.164856201193994</v>
      </c>
      <c r="J226">
        <v>4.7113610841299303E-3</v>
      </c>
      <c r="K226" s="286">
        <v>0.47113610841299303</v>
      </c>
      <c r="L226" s="288" t="s">
        <v>53</v>
      </c>
      <c r="M226" s="288">
        <v>2000000</v>
      </c>
      <c r="N226" s="288">
        <v>35</v>
      </c>
      <c r="O226" s="288" t="s">
        <v>59</v>
      </c>
      <c r="P226" s="288">
        <v>10.377442825664543</v>
      </c>
      <c r="Q226" s="288">
        <v>5.1989700043360187</v>
      </c>
      <c r="R226" s="288" t="s">
        <v>29</v>
      </c>
      <c r="S226" s="288">
        <v>2</v>
      </c>
      <c r="U226" s="291" t="s">
        <v>285</v>
      </c>
      <c r="W226" t="s">
        <v>31</v>
      </c>
    </row>
    <row r="227" spans="1:23" x14ac:dyDescent="0.25">
      <c r="A227" s="3" t="s">
        <v>305</v>
      </c>
      <c r="B227" s="3" t="s">
        <v>306</v>
      </c>
      <c r="C227" s="294">
        <v>2</v>
      </c>
      <c r="D227" s="3">
        <v>14447.076806659201</v>
      </c>
      <c r="E227" s="3">
        <v>16547707.2818792</v>
      </c>
      <c r="F227" s="3">
        <v>8375431.4639387997</v>
      </c>
      <c r="G227" s="3">
        <v>8389878.5407454595</v>
      </c>
      <c r="H227" s="3">
        <v>8.73056101402016E-4</v>
      </c>
      <c r="I227" s="3">
        <v>8.7305610140201606E-2</v>
      </c>
      <c r="J227" s="3">
        <v>1.7219649529485999E-3</v>
      </c>
      <c r="K227" s="296">
        <v>0.17219649529486</v>
      </c>
      <c r="L227" s="293" t="s">
        <v>307</v>
      </c>
      <c r="M227" s="293"/>
      <c r="N227" s="293"/>
      <c r="O227" s="293"/>
      <c r="P227" s="293"/>
      <c r="Q227" s="293"/>
      <c r="R227" s="293"/>
      <c r="S227" s="293"/>
      <c r="T227" s="293"/>
      <c r="U227" s="301"/>
      <c r="V227" t="s">
        <v>25</v>
      </c>
      <c r="W227" t="s">
        <v>31</v>
      </c>
    </row>
    <row r="228" spans="1:23" x14ac:dyDescent="0.25">
      <c r="A228" s="3" t="s">
        <v>308</v>
      </c>
      <c r="B228" s="3" t="s">
        <v>306</v>
      </c>
      <c r="C228" s="294">
        <v>0</v>
      </c>
      <c r="D228" s="3">
        <v>0</v>
      </c>
      <c r="E228" s="3">
        <v>24721651.664644498</v>
      </c>
      <c r="F228" s="3">
        <v>10504930.712143499</v>
      </c>
      <c r="G228" s="3">
        <v>10504936.2112797</v>
      </c>
      <c r="H228" s="295">
        <v>0</v>
      </c>
      <c r="I228" s="3">
        <v>0</v>
      </c>
      <c r="J228" s="295">
        <v>0</v>
      </c>
      <c r="K228" s="296">
        <v>0</v>
      </c>
      <c r="L228" s="293" t="s">
        <v>307</v>
      </c>
      <c r="M228" s="293"/>
      <c r="N228" s="293"/>
      <c r="O228" s="293"/>
      <c r="P228" s="293"/>
      <c r="Q228" s="293"/>
      <c r="R228" s="293"/>
      <c r="S228" s="293"/>
      <c r="T228" s="293"/>
      <c r="U228" s="301"/>
      <c r="V228" t="s">
        <v>25</v>
      </c>
      <c r="W228" t="s">
        <v>26</v>
      </c>
    </row>
    <row r="229" spans="1:23" x14ac:dyDescent="0.25">
      <c r="A229" t="s">
        <v>309</v>
      </c>
      <c r="B229" t="s">
        <v>306</v>
      </c>
      <c r="C229" s="285">
        <v>3</v>
      </c>
      <c r="D229">
        <v>817040.226344091</v>
      </c>
      <c r="E229">
        <v>34122203.049926698</v>
      </c>
      <c r="F229">
        <v>18195064.875496801</v>
      </c>
      <c r="G229">
        <v>19012105.101840802</v>
      </c>
      <c r="H229">
        <v>2.39445332749652E-2</v>
      </c>
      <c r="I229">
        <v>2.3944533274965201</v>
      </c>
      <c r="J229">
        <v>4.2974737514204997E-2</v>
      </c>
      <c r="K229" s="286">
        <v>4.2974737514205001</v>
      </c>
      <c r="L229" s="288" t="s">
        <v>28</v>
      </c>
      <c r="M229" s="288">
        <v>10000</v>
      </c>
      <c r="N229" s="288">
        <v>32</v>
      </c>
      <c r="O229" s="288">
        <v>6.7903528631427905</v>
      </c>
      <c r="P229" s="288">
        <v>9.3772441830275373</v>
      </c>
      <c r="Q229" s="288">
        <v>3.5854607295085006</v>
      </c>
      <c r="R229" s="288" t="s">
        <v>29</v>
      </c>
      <c r="S229" s="288">
        <v>5</v>
      </c>
      <c r="T229" s="288" t="s">
        <v>66</v>
      </c>
      <c r="V229" t="s">
        <v>25</v>
      </c>
      <c r="W229" t="s">
        <v>31</v>
      </c>
    </row>
    <row r="230" spans="1:23" x14ac:dyDescent="0.25">
      <c r="A230" s="3" t="s">
        <v>310</v>
      </c>
      <c r="B230" s="3" t="s">
        <v>311</v>
      </c>
      <c r="C230" s="285">
        <v>3</v>
      </c>
      <c r="D230">
        <v>36775.4722860576</v>
      </c>
      <c r="E230">
        <v>13643291.5900183</v>
      </c>
      <c r="F230">
        <v>8697664.5289666895</v>
      </c>
      <c r="G230">
        <v>8734440.0012527406</v>
      </c>
      <c r="H230">
        <v>2.69549851979731E-3</v>
      </c>
      <c r="I230">
        <v>0.26954985197973103</v>
      </c>
      <c r="J230">
        <v>4.2103984091462097E-3</v>
      </c>
      <c r="K230" s="286">
        <v>0.42103984091462099</v>
      </c>
      <c r="L230" s="288" t="s">
        <v>28</v>
      </c>
      <c r="M230" s="288">
        <v>15100</v>
      </c>
      <c r="N230" s="288">
        <v>22</v>
      </c>
      <c r="O230" s="288">
        <v>5.9101539806830719</v>
      </c>
      <c r="P230" s="288">
        <v>8.3210758124768276</v>
      </c>
      <c r="Q230" s="288">
        <v>4.4771212547196626</v>
      </c>
      <c r="R230" s="288" t="s">
        <v>29</v>
      </c>
      <c r="S230" s="288">
        <v>5</v>
      </c>
      <c r="T230" s="288" t="s">
        <v>312</v>
      </c>
      <c r="V230" t="s">
        <v>61</v>
      </c>
      <c r="W230" t="s">
        <v>31</v>
      </c>
    </row>
    <row r="231" spans="1:23" x14ac:dyDescent="0.25">
      <c r="A231" s="3" t="s">
        <v>313</v>
      </c>
      <c r="B231" s="3" t="s">
        <v>311</v>
      </c>
      <c r="C231" s="285">
        <v>3</v>
      </c>
      <c r="D231">
        <v>39718.778418798502</v>
      </c>
      <c r="E231">
        <v>15039911.565845801</v>
      </c>
      <c r="F231">
        <v>8505922.1995151695</v>
      </c>
      <c r="G231">
        <v>8545640.9779339693</v>
      </c>
      <c r="H231">
        <v>2.64089175291403E-3</v>
      </c>
      <c r="I231">
        <v>0.26408917529140302</v>
      </c>
      <c r="J231">
        <v>4.6478407554632704E-3</v>
      </c>
      <c r="K231" s="286">
        <v>0.464784075546327</v>
      </c>
      <c r="L231" s="288" t="s">
        <v>28</v>
      </c>
      <c r="M231" s="288">
        <v>15100</v>
      </c>
      <c r="N231" s="288">
        <v>26</v>
      </c>
      <c r="O231" s="288">
        <v>5.5875092447928711</v>
      </c>
      <c r="P231" s="288">
        <v>8.4938684842189023</v>
      </c>
      <c r="Q231" s="288">
        <v>4.3979400086720375</v>
      </c>
      <c r="R231" s="288" t="s">
        <v>29</v>
      </c>
      <c r="S231" s="288">
        <v>5</v>
      </c>
      <c r="T231" s="288" t="s">
        <v>312</v>
      </c>
      <c r="V231" t="s">
        <v>61</v>
      </c>
      <c r="W231" t="s">
        <v>31</v>
      </c>
    </row>
    <row r="232" spans="1:23" x14ac:dyDescent="0.25">
      <c r="A232" s="3" t="s">
        <v>314</v>
      </c>
      <c r="B232" s="3" t="s">
        <v>311</v>
      </c>
      <c r="C232" s="285">
        <v>3</v>
      </c>
      <c r="D232">
        <v>94732.551496941102</v>
      </c>
      <c r="E232">
        <v>23141537.314981598</v>
      </c>
      <c r="F232">
        <v>12681171.884771001</v>
      </c>
      <c r="G232">
        <v>12775904.436268</v>
      </c>
      <c r="H232">
        <v>4.0936153120480802E-3</v>
      </c>
      <c r="I232">
        <v>0.409361531204808</v>
      </c>
      <c r="J232">
        <v>7.4149389555557199E-3</v>
      </c>
      <c r="K232" s="286">
        <v>0.74149389555557199</v>
      </c>
      <c r="L232" s="288" t="s">
        <v>28</v>
      </c>
      <c r="M232" s="288">
        <v>15100</v>
      </c>
      <c r="N232" s="288">
        <v>21</v>
      </c>
      <c r="O232" s="288">
        <v>5.985013582426264</v>
      </c>
      <c r="P232" s="288">
        <v>8.6210899489838031</v>
      </c>
      <c r="Q232" s="288">
        <v>4.989004615698537</v>
      </c>
      <c r="R232" s="288" t="s">
        <v>29</v>
      </c>
      <c r="S232" s="288">
        <v>7</v>
      </c>
      <c r="T232" s="288" t="s">
        <v>312</v>
      </c>
      <c r="V232" t="s">
        <v>61</v>
      </c>
      <c r="W232" t="s">
        <v>31</v>
      </c>
    </row>
    <row r="233" spans="1:23" x14ac:dyDescent="0.25">
      <c r="A233" s="3" t="s">
        <v>315</v>
      </c>
      <c r="B233" s="3" t="s">
        <v>311</v>
      </c>
      <c r="C233" s="285">
        <v>4</v>
      </c>
      <c r="D233">
        <v>112979.54219669499</v>
      </c>
      <c r="E233">
        <v>17159771.166911501</v>
      </c>
      <c r="F233">
        <v>9564595.3909036294</v>
      </c>
      <c r="G233">
        <v>9677574.9331003204</v>
      </c>
      <c r="H233">
        <v>6.5839772044599997E-3</v>
      </c>
      <c r="I233">
        <v>0.65839772044599998</v>
      </c>
      <c r="J233">
        <v>1.1674365011658999E-2</v>
      </c>
      <c r="K233" s="286">
        <v>1.1674365011659</v>
      </c>
      <c r="L233" s="288" t="s">
        <v>28</v>
      </c>
      <c r="M233" s="288">
        <v>15100</v>
      </c>
      <c r="N233" s="288">
        <v>14</v>
      </c>
      <c r="O233" s="288">
        <v>6.0498495853558785</v>
      </c>
      <c r="P233" s="288">
        <v>8.6147273995159832</v>
      </c>
      <c r="Q233" s="288">
        <v>4.8129133566428557</v>
      </c>
      <c r="R233" s="288" t="s">
        <v>29</v>
      </c>
      <c r="S233" s="288">
        <v>7</v>
      </c>
      <c r="T233" s="288" t="s">
        <v>312</v>
      </c>
      <c r="V233" t="s">
        <v>61</v>
      </c>
      <c r="W233" t="s">
        <v>31</v>
      </c>
    </row>
    <row r="234" spans="1:23" x14ac:dyDescent="0.25">
      <c r="A234" s="3" t="s">
        <v>316</v>
      </c>
      <c r="B234" s="3" t="s">
        <v>311</v>
      </c>
      <c r="C234" s="285">
        <v>2</v>
      </c>
      <c r="D234">
        <v>67546.094109832396</v>
      </c>
      <c r="E234">
        <v>29222369.366381802</v>
      </c>
      <c r="F234">
        <v>15554576.201152399</v>
      </c>
      <c r="G234">
        <v>15622122.295262201</v>
      </c>
      <c r="H234">
        <v>2.31145165756269E-3</v>
      </c>
      <c r="I234">
        <v>0.23114516575626901</v>
      </c>
      <c r="J234">
        <v>4.3237463408103702E-3</v>
      </c>
      <c r="K234" s="286">
        <v>0.43237463408103699</v>
      </c>
      <c r="L234" s="288" t="s">
        <v>28</v>
      </c>
      <c r="M234" s="288">
        <v>15100</v>
      </c>
      <c r="N234" s="288">
        <v>28</v>
      </c>
      <c r="O234" s="288">
        <v>6.0648923647241118</v>
      </c>
      <c r="P234" s="288">
        <v>8.4862216150209147</v>
      </c>
      <c r="Q234" s="288">
        <v>5.0881360887005513</v>
      </c>
      <c r="R234" s="288" t="s">
        <v>29</v>
      </c>
      <c r="S234" s="288">
        <v>5</v>
      </c>
      <c r="T234" s="288" t="s">
        <v>312</v>
      </c>
      <c r="V234" t="s">
        <v>61</v>
      </c>
      <c r="W234" t="s">
        <v>31</v>
      </c>
    </row>
    <row r="235" spans="1:23" x14ac:dyDescent="0.25">
      <c r="A235" s="3" t="s">
        <v>317</v>
      </c>
      <c r="B235" s="3" t="s">
        <v>311</v>
      </c>
      <c r="C235" s="285">
        <v>2</v>
      </c>
      <c r="D235">
        <v>31466.480330085498</v>
      </c>
      <c r="E235">
        <v>20043977.074031901</v>
      </c>
      <c r="F235">
        <v>11501811.798287701</v>
      </c>
      <c r="G235">
        <v>11533278.278617799</v>
      </c>
      <c r="H235">
        <v>1.5698720974318E-3</v>
      </c>
      <c r="I235">
        <v>0.15698720974318001</v>
      </c>
      <c r="J235">
        <v>2.72832056679175E-3</v>
      </c>
      <c r="K235" s="286">
        <v>0.27283205667917498</v>
      </c>
      <c r="L235" s="288" t="s">
        <v>28</v>
      </c>
      <c r="M235" s="288">
        <v>15100</v>
      </c>
      <c r="N235" s="288">
        <v>4</v>
      </c>
      <c r="O235" s="288">
        <v>6.1807468617622865</v>
      </c>
      <c r="P235" s="288">
        <v>8.4196436611929144</v>
      </c>
      <c r="Q235" s="288">
        <v>4.4393326938302629</v>
      </c>
      <c r="R235" s="288" t="s">
        <v>29</v>
      </c>
      <c r="S235" s="288">
        <v>5</v>
      </c>
      <c r="T235" s="288" t="s">
        <v>312</v>
      </c>
      <c r="V235" t="s">
        <v>61</v>
      </c>
      <c r="W235" t="s">
        <v>31</v>
      </c>
    </row>
    <row r="236" spans="1:23" x14ac:dyDescent="0.25">
      <c r="A236" s="3" t="s">
        <v>318</v>
      </c>
      <c r="B236" s="3" t="s">
        <v>311</v>
      </c>
      <c r="C236" s="294">
        <v>1</v>
      </c>
      <c r="D236" s="3">
        <v>2725.2448952618802</v>
      </c>
      <c r="E236" s="3">
        <v>23684475.425691601</v>
      </c>
      <c r="F236" s="3">
        <v>14103567.2469883</v>
      </c>
      <c r="G236" s="3">
        <v>14106292.4918836</v>
      </c>
      <c r="H236" s="3">
        <v>1.15064608621463E-4</v>
      </c>
      <c r="I236" s="3">
        <v>1.15064608621463E-2</v>
      </c>
      <c r="J236" s="3">
        <v>1.9319356215177801E-4</v>
      </c>
      <c r="K236" s="296">
        <v>1.9319356215177799E-2</v>
      </c>
      <c r="L236" s="293" t="s">
        <v>307</v>
      </c>
      <c r="M236" s="293"/>
      <c r="N236" s="293"/>
      <c r="O236" s="293"/>
      <c r="P236" s="293"/>
      <c r="Q236" s="293"/>
      <c r="R236" s="293"/>
      <c r="S236" s="293"/>
      <c r="T236" s="293"/>
      <c r="U236" s="301"/>
      <c r="V236" t="s">
        <v>61</v>
      </c>
      <c r="W236" t="s">
        <v>31</v>
      </c>
    </row>
    <row r="237" spans="1:23" x14ac:dyDescent="0.25">
      <c r="A237" s="3" t="s">
        <v>319</v>
      </c>
      <c r="B237" s="3" t="s">
        <v>320</v>
      </c>
      <c r="C237" s="294">
        <v>2</v>
      </c>
      <c r="D237" s="3">
        <v>33597.603754396703</v>
      </c>
      <c r="E237" s="3">
        <v>21611771.2415438</v>
      </c>
      <c r="F237" s="3">
        <v>11688876.4383169</v>
      </c>
      <c r="G237" s="3">
        <v>11722474.0420713</v>
      </c>
      <c r="H237" s="3">
        <v>1.5545974172543799E-3</v>
      </c>
      <c r="I237" s="3">
        <v>0.155459741725438</v>
      </c>
      <c r="J237" s="3">
        <v>2.86608472186131E-3</v>
      </c>
      <c r="K237" s="296">
        <v>0.286608472186131</v>
      </c>
      <c r="L237" s="293" t="s">
        <v>307</v>
      </c>
      <c r="M237" s="293"/>
      <c r="N237" s="293"/>
      <c r="O237" s="293"/>
      <c r="P237" s="293"/>
      <c r="Q237" s="293"/>
      <c r="R237" s="293"/>
      <c r="S237" s="293"/>
      <c r="T237" s="293"/>
      <c r="U237" s="301"/>
      <c r="V237" t="s">
        <v>61</v>
      </c>
      <c r="W237" t="s">
        <v>31</v>
      </c>
    </row>
    <row r="238" spans="1:23" x14ac:dyDescent="0.25">
      <c r="A238" s="3" t="s">
        <v>321</v>
      </c>
      <c r="B238" s="3" t="s">
        <v>320</v>
      </c>
      <c r="C238" s="294">
        <v>0</v>
      </c>
      <c r="D238" s="3">
        <v>0</v>
      </c>
      <c r="E238" s="3">
        <v>22386110.965807199</v>
      </c>
      <c r="F238" s="3">
        <v>12330292.1808929</v>
      </c>
      <c r="G238" s="3">
        <v>12330292.1808929</v>
      </c>
      <c r="H238" s="295">
        <v>0</v>
      </c>
      <c r="I238" s="3">
        <v>0</v>
      </c>
      <c r="J238" s="295">
        <v>0</v>
      </c>
      <c r="K238" s="296">
        <v>0</v>
      </c>
      <c r="L238" s="293" t="s">
        <v>307</v>
      </c>
      <c r="M238" s="293"/>
      <c r="N238" s="293"/>
      <c r="O238" s="293"/>
      <c r="P238" s="293"/>
      <c r="Q238" s="293"/>
      <c r="R238" s="293"/>
      <c r="S238" s="293"/>
      <c r="T238" s="293"/>
      <c r="U238" s="301"/>
      <c r="V238" t="s">
        <v>61</v>
      </c>
      <c r="W238" t="s">
        <v>26</v>
      </c>
    </row>
    <row r="239" spans="1:23" x14ac:dyDescent="0.25">
      <c r="A239" s="3" t="s">
        <v>322</v>
      </c>
      <c r="B239" s="3" t="s">
        <v>320</v>
      </c>
      <c r="C239" s="294">
        <v>2</v>
      </c>
      <c r="D239" s="3">
        <v>10318.495482668101</v>
      </c>
      <c r="E239" s="3">
        <v>23621132.5999378</v>
      </c>
      <c r="F239" s="3">
        <v>11675444.262794999</v>
      </c>
      <c r="G239" s="3">
        <v>11685762.758277699</v>
      </c>
      <c r="H239" s="3">
        <v>4.3683322292070498E-4</v>
      </c>
      <c r="I239" s="3">
        <v>4.3683322292070503E-2</v>
      </c>
      <c r="J239" s="3">
        <v>8.8299717323620398E-4</v>
      </c>
      <c r="K239" s="296">
        <v>8.8299717323620394E-2</v>
      </c>
      <c r="L239" s="293" t="s">
        <v>307</v>
      </c>
      <c r="M239" s="293"/>
      <c r="N239" s="293"/>
      <c r="O239" s="293"/>
      <c r="P239" s="293"/>
      <c r="Q239" s="293"/>
      <c r="R239" s="293"/>
      <c r="S239" s="293"/>
      <c r="T239" s="293"/>
      <c r="U239" s="301"/>
      <c r="V239" t="s">
        <v>61</v>
      </c>
      <c r="W239" t="s">
        <v>31</v>
      </c>
    </row>
    <row r="240" spans="1:23" x14ac:dyDescent="0.25">
      <c r="A240" s="289" t="s">
        <v>323</v>
      </c>
      <c r="B240" s="289" t="s">
        <v>324</v>
      </c>
      <c r="C240" s="285">
        <v>4</v>
      </c>
      <c r="D240">
        <v>6844138.8041819902</v>
      </c>
      <c r="E240">
        <v>104258604.278345</v>
      </c>
      <c r="F240">
        <v>55425081.650331497</v>
      </c>
      <c r="G240">
        <v>62269220.454513498</v>
      </c>
      <c r="H240">
        <v>6.5645793472448394E-2</v>
      </c>
      <c r="I240">
        <v>6.5645793472448402</v>
      </c>
      <c r="J240">
        <v>0.10991206818112501</v>
      </c>
      <c r="K240" s="286">
        <v>10.9912068181125</v>
      </c>
      <c r="V240" t="s">
        <v>25</v>
      </c>
      <c r="W240" t="s">
        <v>31</v>
      </c>
    </row>
    <row r="241" spans="1:23" x14ac:dyDescent="0.25">
      <c r="A241" s="289" t="s">
        <v>325</v>
      </c>
      <c r="B241" s="289"/>
      <c r="C241" s="285">
        <v>3</v>
      </c>
      <c r="D241">
        <v>435139.40111272002</v>
      </c>
      <c r="E241">
        <v>59316825.685464203</v>
      </c>
      <c r="F241">
        <v>33703279.118820101</v>
      </c>
      <c r="G241">
        <v>34138418.519932799</v>
      </c>
      <c r="H241">
        <v>7.3358511026889303E-3</v>
      </c>
      <c r="I241">
        <v>0.73358511026889295</v>
      </c>
      <c r="J241">
        <v>1.2746325693401599E-2</v>
      </c>
      <c r="K241" s="286">
        <v>1.2746325693401599</v>
      </c>
      <c r="V241" t="s">
        <v>25</v>
      </c>
      <c r="W241" t="s">
        <v>31</v>
      </c>
    </row>
    <row r="242" spans="1:23" x14ac:dyDescent="0.25">
      <c r="A242" s="289" t="s">
        <v>326</v>
      </c>
      <c r="B242" s="289"/>
      <c r="C242" s="285">
        <v>3</v>
      </c>
      <c r="D242">
        <v>628576.02456348599</v>
      </c>
      <c r="E242">
        <v>57006308.2418207</v>
      </c>
      <c r="F242">
        <v>38716841.880520798</v>
      </c>
      <c r="G242">
        <v>39345417.905084297</v>
      </c>
      <c r="H242">
        <v>1.1026429248795801E-2</v>
      </c>
      <c r="I242">
        <v>1.1026429248795799</v>
      </c>
      <c r="J242">
        <v>1.5975838052599702E-2</v>
      </c>
      <c r="K242" s="286">
        <v>1.59758380525997</v>
      </c>
      <c r="V242" t="s">
        <v>25</v>
      </c>
      <c r="W242" t="s">
        <v>31</v>
      </c>
    </row>
    <row r="243" spans="1:23" x14ac:dyDescent="0.25">
      <c r="A243" s="289" t="s">
        <v>327</v>
      </c>
      <c r="B243" s="289"/>
      <c r="C243" s="285">
        <v>3</v>
      </c>
      <c r="D243">
        <v>930606.34915806202</v>
      </c>
      <c r="E243">
        <v>69583915.320505306</v>
      </c>
      <c r="F243">
        <v>37717544.889104702</v>
      </c>
      <c r="G243">
        <v>38648151.238262698</v>
      </c>
      <c r="H243">
        <v>1.3373871603396601E-2</v>
      </c>
      <c r="I243">
        <v>1.3373871603396601</v>
      </c>
      <c r="J243">
        <v>2.4078935714698099E-2</v>
      </c>
      <c r="K243" s="286">
        <v>2.4078935714698102</v>
      </c>
      <c r="V243" t="s">
        <v>25</v>
      </c>
      <c r="W243" t="s">
        <v>31</v>
      </c>
    </row>
    <row r="244" spans="1:23" x14ac:dyDescent="0.25">
      <c r="A244" s="289" t="s">
        <v>328</v>
      </c>
      <c r="B244" s="289"/>
      <c r="C244" s="285">
        <v>2</v>
      </c>
      <c r="D244">
        <v>111183.86330551399</v>
      </c>
      <c r="E244">
        <v>93102439.138090804</v>
      </c>
      <c r="F244">
        <v>50534519.230616003</v>
      </c>
      <c r="G244">
        <v>50645703.093921602</v>
      </c>
      <c r="H244">
        <v>1.1942099942258699E-3</v>
      </c>
      <c r="I244">
        <v>0.11942099942258699</v>
      </c>
      <c r="J244">
        <v>2.1953266815019899E-3</v>
      </c>
      <c r="K244" s="286">
        <v>0.21953266815019901</v>
      </c>
      <c r="V244" t="s">
        <v>25</v>
      </c>
      <c r="W244" t="s">
        <v>31</v>
      </c>
    </row>
    <row r="245" spans="1:23" x14ac:dyDescent="0.25">
      <c r="A245" s="289" t="s">
        <v>329</v>
      </c>
      <c r="B245" s="289"/>
      <c r="C245" s="285">
        <v>2</v>
      </c>
      <c r="D245">
        <v>14501.4323719697</v>
      </c>
      <c r="E245">
        <v>77366330.786803007</v>
      </c>
      <c r="F245">
        <v>41474061.262461796</v>
      </c>
      <c r="G245">
        <v>41488562.694833703</v>
      </c>
      <c r="H245">
        <v>1.8743854367258401E-4</v>
      </c>
      <c r="I245">
        <v>1.8743854367258402E-2</v>
      </c>
      <c r="J245">
        <v>3.4952843458651499E-4</v>
      </c>
      <c r="K245" s="286">
        <v>3.4952843458651503E-2</v>
      </c>
      <c r="V245" t="s">
        <v>25</v>
      </c>
      <c r="W245" t="s">
        <v>31</v>
      </c>
    </row>
    <row r="246" spans="1:23" x14ac:dyDescent="0.25">
      <c r="A246" s="289" t="s">
        <v>330</v>
      </c>
      <c r="B246" s="289"/>
      <c r="C246" s="285">
        <v>1</v>
      </c>
      <c r="D246">
        <v>6697.7359473449897</v>
      </c>
      <c r="E246">
        <v>81913407.5054221</v>
      </c>
      <c r="F246">
        <v>40081419.202948801</v>
      </c>
      <c r="G246">
        <v>40088116.938896202</v>
      </c>
      <c r="H246" s="1">
        <v>8.1766052119143504E-5</v>
      </c>
      <c r="I246">
        <v>8.1766052119143506E-3</v>
      </c>
      <c r="J246">
        <v>1.6707534448559701E-4</v>
      </c>
      <c r="K246" s="286">
        <v>1.6707534448559699E-2</v>
      </c>
      <c r="V246" t="s">
        <v>25</v>
      </c>
      <c r="W246" t="s">
        <v>31</v>
      </c>
    </row>
    <row r="247" spans="1:23" x14ac:dyDescent="0.25">
      <c r="A247" s="289" t="s">
        <v>331</v>
      </c>
      <c r="B247" s="289"/>
      <c r="C247" s="285">
        <v>2</v>
      </c>
      <c r="D247">
        <v>472515.55772815697</v>
      </c>
      <c r="E247">
        <v>96341077.926420197</v>
      </c>
      <c r="F247">
        <v>62576063.515725397</v>
      </c>
      <c r="G247">
        <v>63048579.073453598</v>
      </c>
      <c r="H247">
        <v>4.9046114897015897E-3</v>
      </c>
      <c r="I247">
        <v>0.49046114897015902</v>
      </c>
      <c r="J247">
        <v>7.4944679907482303E-3</v>
      </c>
      <c r="K247" s="286">
        <v>0.74944679907482303</v>
      </c>
      <c r="V247" t="s">
        <v>25</v>
      </c>
      <c r="W247" t="s">
        <v>31</v>
      </c>
    </row>
    <row r="248" spans="1:23" x14ac:dyDescent="0.25">
      <c r="A248" s="289" t="s">
        <v>332</v>
      </c>
      <c r="B248" s="289"/>
      <c r="C248" s="285">
        <v>2</v>
      </c>
      <c r="D248">
        <v>53545.5069837954</v>
      </c>
      <c r="E248">
        <v>92859069.817239106</v>
      </c>
      <c r="F248">
        <v>55384214.059253201</v>
      </c>
      <c r="G248">
        <v>55437759.566237003</v>
      </c>
      <c r="H248">
        <v>5.7663195516798895E-4</v>
      </c>
      <c r="I248">
        <v>5.7663195516798903E-2</v>
      </c>
      <c r="J248">
        <v>9.6586708053775705E-4</v>
      </c>
      <c r="K248" s="286">
        <v>9.6586708053775699E-2</v>
      </c>
      <c r="V248" t="s">
        <v>25</v>
      </c>
      <c r="W248" t="s">
        <v>31</v>
      </c>
    </row>
    <row r="249" spans="1:23" x14ac:dyDescent="0.25">
      <c r="A249" s="289" t="s">
        <v>333</v>
      </c>
      <c r="B249" s="289"/>
      <c r="C249" s="285">
        <v>2</v>
      </c>
      <c r="D249">
        <v>92925.256271399194</v>
      </c>
      <c r="E249">
        <v>94023896.200710297</v>
      </c>
      <c r="F249">
        <v>60017850.318090402</v>
      </c>
      <c r="G249">
        <v>60110775.574361801</v>
      </c>
      <c r="H249">
        <v>9.8831531159944809E-4</v>
      </c>
      <c r="I249">
        <v>9.8831531159944794E-2</v>
      </c>
      <c r="J249">
        <v>1.54590013826128E-3</v>
      </c>
      <c r="K249" s="286">
        <v>0.154590013826128</v>
      </c>
      <c r="V249" t="s">
        <v>25</v>
      </c>
      <c r="W249" t="s">
        <v>31</v>
      </c>
    </row>
    <row r="250" spans="1:23" x14ac:dyDescent="0.25">
      <c r="A250" s="289" t="s">
        <v>334</v>
      </c>
      <c r="B250" s="289"/>
      <c r="C250" s="285">
        <v>0</v>
      </c>
      <c r="D250">
        <v>0</v>
      </c>
      <c r="E250">
        <v>88832867.658456504</v>
      </c>
      <c r="F250">
        <v>42443418.603175998</v>
      </c>
      <c r="G250">
        <v>42446780.267668001</v>
      </c>
      <c r="H250" s="1">
        <v>0</v>
      </c>
      <c r="I250">
        <v>0</v>
      </c>
      <c r="J250" s="1">
        <v>0</v>
      </c>
      <c r="K250" s="286">
        <v>0</v>
      </c>
      <c r="V250" t="s">
        <v>25</v>
      </c>
      <c r="W250" t="s">
        <v>26</v>
      </c>
    </row>
    <row r="251" spans="1:23" x14ac:dyDescent="0.25">
      <c r="A251" s="289" t="s">
        <v>335</v>
      </c>
      <c r="B251" s="289"/>
      <c r="C251" s="285">
        <v>1</v>
      </c>
      <c r="D251">
        <v>8932.28873332066</v>
      </c>
      <c r="E251">
        <v>100417726.062124</v>
      </c>
      <c r="F251">
        <v>60174593.797640502</v>
      </c>
      <c r="G251">
        <v>60183526.086373799</v>
      </c>
      <c r="H251" s="1">
        <v>8.8951314509896502E-5</v>
      </c>
      <c r="I251">
        <v>8.8951314509896507E-3</v>
      </c>
      <c r="J251">
        <v>1.4841750416054499E-4</v>
      </c>
      <c r="K251" s="286">
        <v>1.4841750416054501E-2</v>
      </c>
      <c r="V251" t="s">
        <v>25</v>
      </c>
      <c r="W251" t="s">
        <v>31</v>
      </c>
    </row>
    <row r="252" spans="1:23" x14ac:dyDescent="0.25">
      <c r="A252" s="3" t="s">
        <v>336</v>
      </c>
      <c r="B252" s="3" t="s">
        <v>337</v>
      </c>
      <c r="C252" s="294">
        <v>0</v>
      </c>
      <c r="D252" s="3">
        <v>0</v>
      </c>
      <c r="E252" s="3">
        <v>46732107.0262198</v>
      </c>
      <c r="F252" s="3">
        <v>22567850.9760307</v>
      </c>
      <c r="G252" s="3">
        <v>22569070.5153309</v>
      </c>
      <c r="H252" s="295">
        <v>0</v>
      </c>
      <c r="I252" s="3">
        <v>0</v>
      </c>
      <c r="J252" s="295">
        <v>0</v>
      </c>
      <c r="K252" s="296">
        <v>0</v>
      </c>
      <c r="L252" s="293" t="s">
        <v>110</v>
      </c>
      <c r="M252" s="293"/>
      <c r="N252" s="293"/>
      <c r="O252" s="293"/>
      <c r="P252" s="293"/>
      <c r="Q252" s="293"/>
      <c r="R252" s="293"/>
      <c r="S252" s="293"/>
      <c r="T252" s="293"/>
      <c r="U252" s="301" t="s">
        <v>338</v>
      </c>
      <c r="V252" t="s">
        <v>25</v>
      </c>
      <c r="W252" t="s">
        <v>26</v>
      </c>
    </row>
    <row r="253" spans="1:23" x14ac:dyDescent="0.25">
      <c r="A253" s="3" t="s">
        <v>339</v>
      </c>
      <c r="B253" s="3" t="s">
        <v>337</v>
      </c>
      <c r="C253" s="294">
        <v>0</v>
      </c>
      <c r="D253" s="3">
        <v>0</v>
      </c>
      <c r="E253" s="3">
        <v>64234421.396446198</v>
      </c>
      <c r="F253" s="3">
        <v>28574697.847138502</v>
      </c>
      <c r="G253" s="3">
        <v>28575999.661795899</v>
      </c>
      <c r="H253" s="295">
        <v>0</v>
      </c>
      <c r="I253" s="3">
        <v>0</v>
      </c>
      <c r="J253" s="295">
        <v>0</v>
      </c>
      <c r="K253" s="296">
        <v>0</v>
      </c>
      <c r="L253" s="293" t="s">
        <v>110</v>
      </c>
      <c r="M253" s="293"/>
      <c r="N253" s="293"/>
      <c r="O253" s="293"/>
      <c r="P253" s="293"/>
      <c r="Q253" s="293"/>
      <c r="R253" s="293"/>
      <c r="S253" s="293"/>
      <c r="T253" s="293"/>
      <c r="U253" s="301" t="s">
        <v>338</v>
      </c>
      <c r="V253" t="s">
        <v>25</v>
      </c>
      <c r="W253" t="s">
        <v>26</v>
      </c>
    </row>
    <row r="254" spans="1:23" x14ac:dyDescent="0.25">
      <c r="A254" t="s">
        <v>340</v>
      </c>
      <c r="B254" t="s">
        <v>337</v>
      </c>
      <c r="C254" s="285">
        <v>3</v>
      </c>
      <c r="D254">
        <v>1722834.79167841</v>
      </c>
      <c r="E254">
        <v>75280622.594778404</v>
      </c>
      <c r="F254">
        <v>27020082.8890756</v>
      </c>
      <c r="G254">
        <v>28742917.680753998</v>
      </c>
      <c r="H254">
        <v>2.2885501372007899E-2</v>
      </c>
      <c r="I254">
        <v>2.2885501372007901</v>
      </c>
      <c r="J254">
        <v>5.99394539835462E-2</v>
      </c>
      <c r="K254" s="286">
        <v>5.9939453983546196</v>
      </c>
      <c r="L254" s="288" t="s">
        <v>28</v>
      </c>
      <c r="M254" s="288">
        <v>5000</v>
      </c>
      <c r="N254" s="288">
        <v>23</v>
      </c>
      <c r="O254" s="288" t="s">
        <v>59</v>
      </c>
      <c r="P254" s="288" t="s">
        <v>59</v>
      </c>
      <c r="Q254" s="288" t="s">
        <v>59</v>
      </c>
      <c r="R254" s="288" t="s">
        <v>29</v>
      </c>
      <c r="S254" s="288">
        <v>2</v>
      </c>
      <c r="U254" s="291" t="s">
        <v>338</v>
      </c>
      <c r="V254" t="s">
        <v>25</v>
      </c>
      <c r="W254" t="s">
        <v>31</v>
      </c>
    </row>
    <row r="255" spans="1:23" x14ac:dyDescent="0.25">
      <c r="A255" t="s">
        <v>341</v>
      </c>
      <c r="B255" t="s">
        <v>337</v>
      </c>
      <c r="C255" s="285">
        <v>2</v>
      </c>
      <c r="D255">
        <v>476453.80759745499</v>
      </c>
      <c r="E255">
        <v>56556819.134574898</v>
      </c>
      <c r="F255">
        <v>25452859.095845599</v>
      </c>
      <c r="G255">
        <v>25929312.903443102</v>
      </c>
      <c r="H255">
        <v>8.4243388310744592E-3</v>
      </c>
      <c r="I255">
        <v>0.84243388310744605</v>
      </c>
      <c r="J255">
        <v>1.83751034734972E-2</v>
      </c>
      <c r="K255" s="286">
        <v>1.8375103473497201</v>
      </c>
      <c r="L255" s="288" t="s">
        <v>28</v>
      </c>
      <c r="M255" s="288">
        <v>5000</v>
      </c>
      <c r="N255" s="288">
        <v>14</v>
      </c>
      <c r="O255" s="288" t="s">
        <v>59</v>
      </c>
      <c r="P255" s="288" t="s">
        <v>59</v>
      </c>
      <c r="Q255" s="288" t="s">
        <v>59</v>
      </c>
      <c r="R255" s="288" t="s">
        <v>29</v>
      </c>
      <c r="S255" s="288">
        <v>2</v>
      </c>
      <c r="U255" s="291" t="s">
        <v>338</v>
      </c>
      <c r="V255" t="s">
        <v>25</v>
      </c>
      <c r="W255" t="s">
        <v>31</v>
      </c>
    </row>
    <row r="256" spans="1:23" x14ac:dyDescent="0.25">
      <c r="A256" t="s">
        <v>342</v>
      </c>
      <c r="B256" t="s">
        <v>337</v>
      </c>
      <c r="C256" s="285">
        <v>3</v>
      </c>
      <c r="D256">
        <v>863331.05775648204</v>
      </c>
      <c r="E256">
        <v>67256952.860482603</v>
      </c>
      <c r="F256">
        <v>23369899.440220602</v>
      </c>
      <c r="G256">
        <v>24233230.4979771</v>
      </c>
      <c r="H256">
        <v>1.28363094228691E-2</v>
      </c>
      <c r="I256">
        <v>1.2836309422869101</v>
      </c>
      <c r="J256">
        <v>3.5625916974979702E-2</v>
      </c>
      <c r="K256" s="286">
        <v>3.5625916974979699</v>
      </c>
      <c r="L256" s="288" t="s">
        <v>28</v>
      </c>
      <c r="M256" s="288">
        <v>5000</v>
      </c>
      <c r="N256" s="288">
        <v>22</v>
      </c>
      <c r="O256" s="288" t="s">
        <v>59</v>
      </c>
      <c r="P256" s="288" t="s">
        <v>59</v>
      </c>
      <c r="Q256" s="288" t="s">
        <v>59</v>
      </c>
      <c r="R256" s="288" t="s">
        <v>29</v>
      </c>
      <c r="S256" s="288">
        <v>2</v>
      </c>
      <c r="U256" s="291" t="s">
        <v>338</v>
      </c>
      <c r="V256" t="s">
        <v>25</v>
      </c>
      <c r="W256" t="s">
        <v>31</v>
      </c>
    </row>
    <row r="257" spans="1:23" x14ac:dyDescent="0.25">
      <c r="A257" t="s">
        <v>343</v>
      </c>
      <c r="B257" t="s">
        <v>337</v>
      </c>
      <c r="C257" s="285">
        <v>2</v>
      </c>
      <c r="D257">
        <v>39795.5517496881</v>
      </c>
      <c r="E257">
        <v>76685660.625589594</v>
      </c>
      <c r="F257">
        <v>27353007.416336302</v>
      </c>
      <c r="G257">
        <v>27392802.968086001</v>
      </c>
      <c r="H257">
        <v>5.18943847194406E-4</v>
      </c>
      <c r="I257">
        <v>5.1894384719440599E-2</v>
      </c>
      <c r="J257">
        <v>1.4527739930832099E-3</v>
      </c>
      <c r="K257" s="286">
        <v>0.14527739930832101</v>
      </c>
      <c r="L257" s="288" t="s">
        <v>28</v>
      </c>
      <c r="M257" s="288">
        <v>5000</v>
      </c>
      <c r="N257" s="288">
        <v>8</v>
      </c>
      <c r="O257" s="288" t="s">
        <v>59</v>
      </c>
      <c r="P257" s="288" t="s">
        <v>59</v>
      </c>
      <c r="Q257" s="288" t="s">
        <v>59</v>
      </c>
      <c r="R257" s="288" t="s">
        <v>29</v>
      </c>
      <c r="S257" s="288">
        <v>2</v>
      </c>
      <c r="U257" s="291" t="s">
        <v>338</v>
      </c>
      <c r="V257" t="s">
        <v>25</v>
      </c>
      <c r="W257" t="s">
        <v>31</v>
      </c>
    </row>
    <row r="258" spans="1:23" x14ac:dyDescent="0.25">
      <c r="A258" t="s">
        <v>344</v>
      </c>
      <c r="B258" t="s">
        <v>337</v>
      </c>
      <c r="C258" s="285">
        <v>4</v>
      </c>
      <c r="D258">
        <v>6353140.3470590804</v>
      </c>
      <c r="E258">
        <v>64660211.742505901</v>
      </c>
      <c r="F258">
        <v>29970940.062080398</v>
      </c>
      <c r="G258">
        <v>36324080.409139499</v>
      </c>
      <c r="H258">
        <v>9.8254245939666501E-2</v>
      </c>
      <c r="I258">
        <v>9.82542459396665</v>
      </c>
      <c r="J258">
        <v>0.174901615553646</v>
      </c>
      <c r="K258" s="286">
        <v>17.490161555364601</v>
      </c>
      <c r="L258" s="288" t="s">
        <v>28</v>
      </c>
      <c r="M258" s="288">
        <v>5000</v>
      </c>
      <c r="N258" s="288">
        <v>26</v>
      </c>
      <c r="O258" s="288" t="s">
        <v>59</v>
      </c>
      <c r="P258" s="288" t="s">
        <v>59</v>
      </c>
      <c r="Q258" s="288" t="s">
        <v>59</v>
      </c>
      <c r="R258" s="288" t="s">
        <v>29</v>
      </c>
      <c r="S258" s="288">
        <v>6</v>
      </c>
      <c r="U258" s="291" t="s">
        <v>338</v>
      </c>
      <c r="V258" t="s">
        <v>25</v>
      </c>
      <c r="W258" t="s">
        <v>31</v>
      </c>
    </row>
    <row r="259" spans="1:23" x14ac:dyDescent="0.25">
      <c r="A259" t="s">
        <v>345</v>
      </c>
      <c r="B259" t="s">
        <v>337</v>
      </c>
      <c r="C259" s="285">
        <v>4</v>
      </c>
      <c r="D259">
        <v>10519827.8537024</v>
      </c>
      <c r="E259">
        <v>89285849.783479407</v>
      </c>
      <c r="F259">
        <v>41609000.090698197</v>
      </c>
      <c r="G259">
        <v>52128827.944400698</v>
      </c>
      <c r="H259">
        <v>0.117821893157911</v>
      </c>
      <c r="I259">
        <v>11.782189315791101</v>
      </c>
      <c r="J259">
        <v>0.20180441933056001</v>
      </c>
      <c r="K259" s="286">
        <v>20.180441933055999</v>
      </c>
      <c r="L259" s="288" t="s">
        <v>28</v>
      </c>
      <c r="M259" s="288">
        <v>5000</v>
      </c>
      <c r="N259" s="288">
        <v>27</v>
      </c>
      <c r="O259" s="288" t="s">
        <v>59</v>
      </c>
      <c r="P259" s="288" t="s">
        <v>59</v>
      </c>
      <c r="Q259" s="288" t="s">
        <v>59</v>
      </c>
      <c r="R259" s="288" t="s">
        <v>29</v>
      </c>
      <c r="S259" s="288">
        <v>6</v>
      </c>
      <c r="U259" s="291" t="s">
        <v>338</v>
      </c>
      <c r="V259" t="s">
        <v>25</v>
      </c>
      <c r="W259" t="s">
        <v>31</v>
      </c>
    </row>
    <row r="260" spans="1:23" x14ac:dyDescent="0.25">
      <c r="A260" t="s">
        <v>346</v>
      </c>
      <c r="B260" t="s">
        <v>337</v>
      </c>
      <c r="C260" s="285">
        <v>4</v>
      </c>
      <c r="D260">
        <v>9567456.6511715204</v>
      </c>
      <c r="E260">
        <v>73648575.441313997</v>
      </c>
      <c r="F260">
        <v>38777112.571093298</v>
      </c>
      <c r="G260">
        <v>48344569.222264901</v>
      </c>
      <c r="H260">
        <v>0.129906879988401</v>
      </c>
      <c r="I260">
        <v>12.9906879988401</v>
      </c>
      <c r="J260">
        <v>0.19790137351695</v>
      </c>
      <c r="K260" s="286">
        <v>19.790137351695002</v>
      </c>
      <c r="L260" s="288" t="s">
        <v>28</v>
      </c>
      <c r="M260" s="288">
        <v>5000</v>
      </c>
      <c r="N260" s="288">
        <v>39</v>
      </c>
      <c r="O260" s="288" t="s">
        <v>59</v>
      </c>
      <c r="P260" s="288" t="s">
        <v>59</v>
      </c>
      <c r="Q260" s="288" t="s">
        <v>59</v>
      </c>
      <c r="R260" s="288" t="s">
        <v>29</v>
      </c>
      <c r="S260" s="288">
        <v>6</v>
      </c>
      <c r="U260" s="291" t="s">
        <v>338</v>
      </c>
      <c r="V260" t="s">
        <v>25</v>
      </c>
      <c r="W260" t="s">
        <v>31</v>
      </c>
    </row>
    <row r="261" spans="1:23" x14ac:dyDescent="0.25">
      <c r="A261" t="s">
        <v>347</v>
      </c>
      <c r="B261" t="s">
        <v>337</v>
      </c>
      <c r="C261" s="285">
        <v>4</v>
      </c>
      <c r="D261">
        <v>5233685.5884892996</v>
      </c>
      <c r="E261">
        <v>80070333.090563506</v>
      </c>
      <c r="F261">
        <v>34752606.644629501</v>
      </c>
      <c r="G261">
        <v>39986292.233118802</v>
      </c>
      <c r="H261">
        <v>6.5363604552134705E-2</v>
      </c>
      <c r="I261">
        <v>6.5363604552134698</v>
      </c>
      <c r="J261">
        <v>0.13088699392224401</v>
      </c>
      <c r="K261" s="286">
        <v>13.088699392224401</v>
      </c>
      <c r="L261" s="288" t="s">
        <v>28</v>
      </c>
      <c r="M261" s="288">
        <v>5000</v>
      </c>
      <c r="N261" s="288">
        <v>29</v>
      </c>
      <c r="O261" s="288" t="s">
        <v>59</v>
      </c>
      <c r="P261" s="288" t="s">
        <v>59</v>
      </c>
      <c r="Q261" s="288" t="s">
        <v>59</v>
      </c>
      <c r="R261" s="288" t="s">
        <v>29</v>
      </c>
      <c r="S261" s="288">
        <v>6</v>
      </c>
      <c r="U261" s="291" t="s">
        <v>338</v>
      </c>
      <c r="V261" t="s">
        <v>25</v>
      </c>
      <c r="W261" t="s">
        <v>31</v>
      </c>
    </row>
    <row r="262" spans="1:23" x14ac:dyDescent="0.25">
      <c r="A262" t="s">
        <v>348</v>
      </c>
      <c r="B262" t="s">
        <v>337</v>
      </c>
      <c r="C262" s="285">
        <v>2</v>
      </c>
      <c r="D262">
        <v>146194.30508911199</v>
      </c>
      <c r="E262">
        <v>46449879.465640903</v>
      </c>
      <c r="F262">
        <v>19777581.301716398</v>
      </c>
      <c r="G262">
        <v>19923775.6068055</v>
      </c>
      <c r="H262">
        <v>3.1473559624035901E-3</v>
      </c>
      <c r="I262">
        <v>0.31473559624035902</v>
      </c>
      <c r="J262">
        <v>7.3376807676540801E-3</v>
      </c>
      <c r="K262" s="286">
        <v>0.73376807676540801</v>
      </c>
      <c r="L262" s="288" t="s">
        <v>349</v>
      </c>
      <c r="M262" s="288">
        <v>5000</v>
      </c>
      <c r="N262" s="288">
        <v>15</v>
      </c>
      <c r="O262" s="288" t="s">
        <v>59</v>
      </c>
      <c r="P262" s="288" t="s">
        <v>59</v>
      </c>
      <c r="Q262" s="288" t="s">
        <v>59</v>
      </c>
      <c r="R262" s="288" t="s">
        <v>29</v>
      </c>
      <c r="S262" s="288">
        <v>2</v>
      </c>
      <c r="U262" s="291" t="s">
        <v>338</v>
      </c>
      <c r="V262" t="s">
        <v>25</v>
      </c>
      <c r="W262" t="s">
        <v>31</v>
      </c>
    </row>
    <row r="263" spans="1:23" x14ac:dyDescent="0.25">
      <c r="A263" t="s">
        <v>350</v>
      </c>
      <c r="B263" t="s">
        <v>337</v>
      </c>
      <c r="C263" s="285">
        <v>3</v>
      </c>
      <c r="D263">
        <v>516982.84958726499</v>
      </c>
      <c r="E263">
        <v>41362726.7266858</v>
      </c>
      <c r="F263">
        <v>18618253.9668063</v>
      </c>
      <c r="G263">
        <v>19135236.816393599</v>
      </c>
      <c r="H263">
        <v>1.24987613365858E-2</v>
      </c>
      <c r="I263">
        <v>1.24987613365858</v>
      </c>
      <c r="J263">
        <v>2.7017321737264999E-2</v>
      </c>
      <c r="K263" s="286">
        <v>2.7017321737265001</v>
      </c>
      <c r="L263" s="288" t="s">
        <v>349</v>
      </c>
      <c r="M263" s="288">
        <v>5000</v>
      </c>
      <c r="N263" s="288">
        <v>0</v>
      </c>
      <c r="O263" s="288" t="s">
        <v>59</v>
      </c>
      <c r="P263" s="288" t="s">
        <v>59</v>
      </c>
      <c r="Q263" s="288" t="s">
        <v>59</v>
      </c>
      <c r="R263" s="288" t="s">
        <v>29</v>
      </c>
      <c r="S263" s="288">
        <v>2</v>
      </c>
      <c r="U263" s="291" t="s">
        <v>338</v>
      </c>
      <c r="V263" t="s">
        <v>25</v>
      </c>
      <c r="W263" t="s">
        <v>31</v>
      </c>
    </row>
    <row r="264" spans="1:23" x14ac:dyDescent="0.25">
      <c r="A264" t="s">
        <v>351</v>
      </c>
      <c r="B264" t="s">
        <v>337</v>
      </c>
      <c r="C264" s="285">
        <v>2</v>
      </c>
      <c r="D264">
        <v>85935.000416007897</v>
      </c>
      <c r="E264">
        <v>57928110.305458397</v>
      </c>
      <c r="F264">
        <v>21949526.934822701</v>
      </c>
      <c r="G264">
        <v>22035461.9352387</v>
      </c>
      <c r="H264">
        <v>1.48347667415469E-3</v>
      </c>
      <c r="I264">
        <v>0.14834766741546901</v>
      </c>
      <c r="J264">
        <v>3.8998501900512502E-3</v>
      </c>
      <c r="K264" s="286">
        <v>0.389985019005125</v>
      </c>
      <c r="L264" s="288" t="s">
        <v>349</v>
      </c>
      <c r="M264" s="288">
        <v>5000</v>
      </c>
      <c r="N264" s="288">
        <v>10</v>
      </c>
      <c r="O264" s="288" t="s">
        <v>59</v>
      </c>
      <c r="P264" s="288" t="s">
        <v>59</v>
      </c>
      <c r="Q264" s="288" t="s">
        <v>59</v>
      </c>
      <c r="R264" s="288" t="s">
        <v>29</v>
      </c>
      <c r="S264" s="288">
        <v>2</v>
      </c>
      <c r="U264" s="291" t="s">
        <v>338</v>
      </c>
      <c r="V264" t="s">
        <v>25</v>
      </c>
      <c r="W264" t="s">
        <v>31</v>
      </c>
    </row>
    <row r="265" spans="1:23" x14ac:dyDescent="0.25">
      <c r="A265" t="s">
        <v>352</v>
      </c>
      <c r="B265" t="s">
        <v>337</v>
      </c>
      <c r="C265" s="285">
        <v>1</v>
      </c>
      <c r="D265">
        <v>3022.83308743521</v>
      </c>
      <c r="E265">
        <v>84300197.655197605</v>
      </c>
      <c r="F265">
        <v>25170366.950591002</v>
      </c>
      <c r="G265">
        <v>25173389.783678401</v>
      </c>
      <c r="H265" s="1">
        <v>3.5857959666940802E-5</v>
      </c>
      <c r="I265">
        <v>3.5857959666940799E-3</v>
      </c>
      <c r="J265">
        <v>1.2008049426045499E-4</v>
      </c>
      <c r="K265" s="286">
        <v>1.2008049426045501E-2</v>
      </c>
      <c r="L265" s="288" t="s">
        <v>349</v>
      </c>
      <c r="M265" s="288">
        <v>5000</v>
      </c>
      <c r="N265" s="288">
        <v>2</v>
      </c>
      <c r="O265" s="288" t="s">
        <v>59</v>
      </c>
      <c r="P265" s="288" t="s">
        <v>59</v>
      </c>
      <c r="Q265" s="288" t="s">
        <v>59</v>
      </c>
      <c r="R265" s="288" t="s">
        <v>29</v>
      </c>
      <c r="S265" s="288">
        <v>2</v>
      </c>
      <c r="U265" s="291" t="s">
        <v>338</v>
      </c>
      <c r="V265" t="s">
        <v>25</v>
      </c>
      <c r="W265" t="s">
        <v>31</v>
      </c>
    </row>
    <row r="266" spans="1:23" x14ac:dyDescent="0.25">
      <c r="A266" t="s">
        <v>353</v>
      </c>
      <c r="B266" t="s">
        <v>337</v>
      </c>
      <c r="C266" s="285">
        <v>2</v>
      </c>
      <c r="D266">
        <v>195663.28795442599</v>
      </c>
      <c r="E266">
        <v>55135512.649727203</v>
      </c>
      <c r="F266">
        <v>19633781.624240302</v>
      </c>
      <c r="G266">
        <v>19829444.912194699</v>
      </c>
      <c r="H266">
        <v>3.5487706298745099E-3</v>
      </c>
      <c r="I266">
        <v>0.35487706298745098</v>
      </c>
      <c r="J266">
        <v>9.8673103972818504E-3</v>
      </c>
      <c r="K266" s="286">
        <v>0.98673103972818499</v>
      </c>
      <c r="L266" s="288" t="s">
        <v>349</v>
      </c>
      <c r="M266" s="288">
        <v>5000</v>
      </c>
      <c r="N266" s="288">
        <v>16</v>
      </c>
      <c r="O266" s="288" t="s">
        <v>59</v>
      </c>
      <c r="P266" s="288" t="s">
        <v>59</v>
      </c>
      <c r="Q266" s="288" t="s">
        <v>59</v>
      </c>
      <c r="R266" s="288" t="s">
        <v>29</v>
      </c>
      <c r="S266" s="288">
        <v>6</v>
      </c>
      <c r="U266" s="291" t="s">
        <v>338</v>
      </c>
      <c r="V266" t="s">
        <v>25</v>
      </c>
      <c r="W266" t="s">
        <v>31</v>
      </c>
    </row>
    <row r="267" spans="1:23" x14ac:dyDescent="0.25">
      <c r="A267" t="s">
        <v>354</v>
      </c>
      <c r="B267" t="s">
        <v>337</v>
      </c>
      <c r="C267" s="285">
        <v>3</v>
      </c>
      <c r="D267">
        <v>1973734.9688569701</v>
      </c>
      <c r="E267">
        <v>66906948.997967802</v>
      </c>
      <c r="F267">
        <v>28695874.221109301</v>
      </c>
      <c r="G267">
        <v>30669609.189966299</v>
      </c>
      <c r="H267">
        <v>2.9499700680073099E-2</v>
      </c>
      <c r="I267">
        <v>2.94997006800731</v>
      </c>
      <c r="J267">
        <v>6.4354747940599394E-2</v>
      </c>
      <c r="K267" s="286">
        <v>6.4354747940599397</v>
      </c>
      <c r="L267" s="288" t="s">
        <v>349</v>
      </c>
      <c r="M267" s="288">
        <v>5000</v>
      </c>
      <c r="N267" s="288">
        <v>28</v>
      </c>
      <c r="O267" s="288" t="s">
        <v>59</v>
      </c>
      <c r="P267" s="288" t="s">
        <v>59</v>
      </c>
      <c r="Q267" s="288" t="s">
        <v>59</v>
      </c>
      <c r="R267" s="288" t="s">
        <v>29</v>
      </c>
      <c r="S267" s="288">
        <v>6</v>
      </c>
      <c r="U267" s="291" t="s">
        <v>338</v>
      </c>
      <c r="V267" t="s">
        <v>25</v>
      </c>
      <c r="W267" t="s">
        <v>31</v>
      </c>
    </row>
    <row r="268" spans="1:23" x14ac:dyDescent="0.25">
      <c r="A268" t="s">
        <v>355</v>
      </c>
      <c r="B268" t="s">
        <v>337</v>
      </c>
      <c r="C268" s="285">
        <v>3</v>
      </c>
      <c r="D268">
        <v>1450147.4428962001</v>
      </c>
      <c r="E268">
        <v>70677069.879703403</v>
      </c>
      <c r="F268">
        <v>33774499.129290901</v>
      </c>
      <c r="G268">
        <v>35224646.572187103</v>
      </c>
      <c r="H268">
        <v>2.05179338272574E-2</v>
      </c>
      <c r="I268">
        <v>2.05179338272574</v>
      </c>
      <c r="J268">
        <v>4.1168544868842402E-2</v>
      </c>
      <c r="K268" s="286">
        <v>4.1168544868842396</v>
      </c>
      <c r="L268" s="288" t="s">
        <v>349</v>
      </c>
      <c r="M268" s="288">
        <v>5000</v>
      </c>
      <c r="N268" s="288">
        <v>22</v>
      </c>
      <c r="O268" s="288" t="s">
        <v>59</v>
      </c>
      <c r="P268" s="288" t="s">
        <v>59</v>
      </c>
      <c r="Q268" s="288" t="s">
        <v>59</v>
      </c>
      <c r="R268" s="288" t="s">
        <v>29</v>
      </c>
      <c r="S268" s="288">
        <v>6</v>
      </c>
      <c r="U268" s="291" t="s">
        <v>338</v>
      </c>
      <c r="V268" t="s">
        <v>25</v>
      </c>
      <c r="W268" t="s">
        <v>31</v>
      </c>
    </row>
    <row r="269" spans="1:23" x14ac:dyDescent="0.25">
      <c r="A269" t="s">
        <v>356</v>
      </c>
      <c r="B269" t="s">
        <v>337</v>
      </c>
      <c r="C269" s="285">
        <v>3</v>
      </c>
      <c r="D269">
        <v>1481823.4247349601</v>
      </c>
      <c r="E269">
        <v>80488482.226915702</v>
      </c>
      <c r="F269">
        <v>28852642.582180101</v>
      </c>
      <c r="G269">
        <v>30334466.006914999</v>
      </c>
      <c r="H269">
        <v>1.84103785254312E-2</v>
      </c>
      <c r="I269">
        <v>1.8410378525431199</v>
      </c>
      <c r="J269">
        <v>4.8849497610973701E-2</v>
      </c>
      <c r="K269" s="286">
        <v>4.8849497610973698</v>
      </c>
      <c r="L269" s="288" t="s">
        <v>349</v>
      </c>
      <c r="M269" s="288">
        <v>5000</v>
      </c>
      <c r="N269" s="288">
        <v>21</v>
      </c>
      <c r="O269" s="288" t="s">
        <v>59</v>
      </c>
      <c r="P269" s="288" t="s">
        <v>59</v>
      </c>
      <c r="Q269" s="288" t="s">
        <v>59</v>
      </c>
      <c r="R269" s="288" t="s">
        <v>29</v>
      </c>
      <c r="S269" s="288">
        <v>6</v>
      </c>
      <c r="U269" s="291" t="s">
        <v>338</v>
      </c>
      <c r="V269" t="s">
        <v>25</v>
      </c>
      <c r="W269" t="s">
        <v>31</v>
      </c>
    </row>
    <row r="270" spans="1:23" x14ac:dyDescent="0.25">
      <c r="A270" s="3" t="s">
        <v>357</v>
      </c>
      <c r="B270" s="3" t="s">
        <v>358</v>
      </c>
      <c r="C270" s="294">
        <v>0</v>
      </c>
      <c r="D270" s="3">
        <v>0</v>
      </c>
      <c r="E270" s="3">
        <v>68540191.116340205</v>
      </c>
      <c r="F270" s="3">
        <v>26066587.122332901</v>
      </c>
      <c r="G270" s="3">
        <v>26088359.8930544</v>
      </c>
      <c r="H270" s="295">
        <v>0</v>
      </c>
      <c r="I270" s="3">
        <v>0</v>
      </c>
      <c r="J270" s="295">
        <v>0</v>
      </c>
      <c r="K270" s="296">
        <v>0</v>
      </c>
      <c r="L270" s="293" t="s">
        <v>110</v>
      </c>
      <c r="M270" s="293"/>
      <c r="N270" s="293"/>
      <c r="O270" s="293"/>
      <c r="P270" s="293"/>
      <c r="Q270" s="293"/>
      <c r="R270" s="293"/>
      <c r="S270" s="293"/>
      <c r="T270" s="293"/>
      <c r="U270" s="301" t="s">
        <v>338</v>
      </c>
      <c r="V270" t="s">
        <v>25</v>
      </c>
      <c r="W270" t="s">
        <v>26</v>
      </c>
    </row>
    <row r="271" spans="1:23" x14ac:dyDescent="0.25">
      <c r="A271" s="3" t="s">
        <v>359</v>
      </c>
      <c r="B271" s="3" t="s">
        <v>358</v>
      </c>
      <c r="C271" s="294">
        <v>0</v>
      </c>
      <c r="D271" s="3">
        <v>0</v>
      </c>
      <c r="E271" s="3">
        <v>77650538.604856193</v>
      </c>
      <c r="F271" s="3">
        <v>22217436.9006061</v>
      </c>
      <c r="G271" s="3">
        <v>22239984.627891701</v>
      </c>
      <c r="H271" s="295">
        <v>0</v>
      </c>
      <c r="I271" s="3">
        <v>0</v>
      </c>
      <c r="J271" s="295">
        <v>0</v>
      </c>
      <c r="K271" s="296">
        <v>0</v>
      </c>
      <c r="L271" s="293" t="s">
        <v>110</v>
      </c>
      <c r="M271" s="293"/>
      <c r="N271" s="293"/>
      <c r="O271" s="293"/>
      <c r="P271" s="293"/>
      <c r="Q271" s="293"/>
      <c r="R271" s="293"/>
      <c r="S271" s="293"/>
      <c r="T271" s="293"/>
      <c r="U271" s="301" t="s">
        <v>338</v>
      </c>
      <c r="V271" t="s">
        <v>25</v>
      </c>
      <c r="W271" t="s">
        <v>26</v>
      </c>
    </row>
    <row r="272" spans="1:23" x14ac:dyDescent="0.25">
      <c r="A272" t="s">
        <v>360</v>
      </c>
      <c r="B272" t="s">
        <v>358</v>
      </c>
      <c r="C272" s="285">
        <v>2</v>
      </c>
      <c r="D272">
        <v>699273.55616706097</v>
      </c>
      <c r="E272">
        <v>81237869.813169107</v>
      </c>
      <c r="F272">
        <v>27788821.639148101</v>
      </c>
      <c r="G272">
        <v>28488095.1953151</v>
      </c>
      <c r="H272">
        <v>8.6077288557079301E-3</v>
      </c>
      <c r="I272">
        <v>0.86077288557079301</v>
      </c>
      <c r="J272">
        <v>2.4546167491115899E-2</v>
      </c>
      <c r="K272" s="286">
        <v>2.4546167491115898</v>
      </c>
      <c r="L272" s="288" t="s">
        <v>81</v>
      </c>
      <c r="M272" s="288">
        <v>10000</v>
      </c>
      <c r="N272" s="288">
        <v>31</v>
      </c>
      <c r="O272" s="288" t="s">
        <v>59</v>
      </c>
      <c r="P272" s="288" t="s">
        <v>59</v>
      </c>
      <c r="Q272" s="288" t="s">
        <v>59</v>
      </c>
      <c r="R272" s="288" t="s">
        <v>60</v>
      </c>
      <c r="S272" s="288">
        <v>2</v>
      </c>
      <c r="U272" s="291" t="s">
        <v>285</v>
      </c>
      <c r="V272" t="s">
        <v>25</v>
      </c>
      <c r="W272" t="s">
        <v>31</v>
      </c>
    </row>
    <row r="273" spans="1:23" x14ac:dyDescent="0.25">
      <c r="A273" t="s">
        <v>361</v>
      </c>
      <c r="B273" t="s">
        <v>358</v>
      </c>
      <c r="C273" s="285">
        <v>0</v>
      </c>
      <c r="D273">
        <v>0</v>
      </c>
      <c r="E273">
        <v>55791267.536406897</v>
      </c>
      <c r="F273">
        <v>18459183.620660301</v>
      </c>
      <c r="G273">
        <v>18472845.3768503</v>
      </c>
      <c r="H273" s="1">
        <v>0</v>
      </c>
      <c r="I273">
        <v>0</v>
      </c>
      <c r="J273" s="1">
        <v>0</v>
      </c>
      <c r="K273" s="286">
        <v>0</v>
      </c>
      <c r="L273" s="288" t="s">
        <v>81</v>
      </c>
      <c r="M273" s="288">
        <v>10000</v>
      </c>
      <c r="N273" s="288">
        <v>3</v>
      </c>
      <c r="O273" s="288" t="s">
        <v>59</v>
      </c>
      <c r="P273" s="288" t="s">
        <v>59</v>
      </c>
      <c r="Q273" s="288" t="s">
        <v>59</v>
      </c>
      <c r="R273" s="288" t="s">
        <v>60</v>
      </c>
      <c r="S273" s="288">
        <v>2</v>
      </c>
      <c r="U273" s="291" t="s">
        <v>285</v>
      </c>
      <c r="V273" t="s">
        <v>25</v>
      </c>
      <c r="W273" t="s">
        <v>26</v>
      </c>
    </row>
    <row r="274" spans="1:23" x14ac:dyDescent="0.25">
      <c r="A274" t="s">
        <v>362</v>
      </c>
      <c r="B274" t="s">
        <v>358</v>
      </c>
      <c r="C274" s="285">
        <v>0</v>
      </c>
      <c r="D274">
        <v>0</v>
      </c>
      <c r="E274">
        <v>75832792.034495607</v>
      </c>
      <c r="F274">
        <v>20363188.454249199</v>
      </c>
      <c r="G274">
        <v>20392309.337337699</v>
      </c>
      <c r="H274" s="1">
        <v>0</v>
      </c>
      <c r="I274">
        <v>0</v>
      </c>
      <c r="J274" s="1">
        <v>0</v>
      </c>
      <c r="K274" s="286">
        <v>0</v>
      </c>
      <c r="L274" s="288" t="s">
        <v>81</v>
      </c>
      <c r="M274" s="288">
        <v>10000</v>
      </c>
      <c r="N274" s="288">
        <v>24</v>
      </c>
      <c r="O274" s="288" t="s">
        <v>59</v>
      </c>
      <c r="P274" s="288" t="s">
        <v>59</v>
      </c>
      <c r="Q274" s="288" t="s">
        <v>59</v>
      </c>
      <c r="R274" s="288" t="s">
        <v>60</v>
      </c>
      <c r="S274" s="288">
        <v>5</v>
      </c>
      <c r="U274" s="291" t="s">
        <v>285</v>
      </c>
      <c r="V274" t="s">
        <v>25</v>
      </c>
      <c r="W274" t="s">
        <v>26</v>
      </c>
    </row>
    <row r="275" spans="1:23" x14ac:dyDescent="0.25">
      <c r="A275" t="s">
        <v>363</v>
      </c>
      <c r="B275" t="s">
        <v>358</v>
      </c>
      <c r="C275" s="285">
        <v>4</v>
      </c>
      <c r="D275">
        <v>3568121.1323050801</v>
      </c>
      <c r="E275">
        <v>61669852.041639298</v>
      </c>
      <c r="F275">
        <v>19584162.130299199</v>
      </c>
      <c r="G275">
        <v>23152283.2626043</v>
      </c>
      <c r="H275">
        <v>5.7858435105307103E-2</v>
      </c>
      <c r="I275">
        <v>5.78584351053071</v>
      </c>
      <c r="J275">
        <v>0.154115302228888</v>
      </c>
      <c r="K275" s="286">
        <v>15.4115302228888</v>
      </c>
      <c r="L275" s="288" t="s">
        <v>81</v>
      </c>
      <c r="M275" s="288">
        <v>10000</v>
      </c>
      <c r="N275" s="288">
        <v>33</v>
      </c>
      <c r="O275" s="288" t="s">
        <v>59</v>
      </c>
      <c r="P275" s="288" t="s">
        <v>59</v>
      </c>
      <c r="Q275" s="288" t="s">
        <v>59</v>
      </c>
      <c r="R275" s="288" t="s">
        <v>60</v>
      </c>
      <c r="S275" s="288">
        <v>2</v>
      </c>
      <c r="U275" s="291" t="s">
        <v>285</v>
      </c>
      <c r="V275" t="s">
        <v>25</v>
      </c>
      <c r="W275" t="s">
        <v>31</v>
      </c>
    </row>
    <row r="276" spans="1:23" x14ac:dyDescent="0.25">
      <c r="A276" t="s">
        <v>364</v>
      </c>
      <c r="B276" t="s">
        <v>358</v>
      </c>
      <c r="C276" s="285">
        <v>0</v>
      </c>
      <c r="D276">
        <v>0</v>
      </c>
      <c r="E276">
        <v>83521885.595090404</v>
      </c>
      <c r="F276">
        <v>25101352.331427298</v>
      </c>
      <c r="G276">
        <v>25118322.664090499</v>
      </c>
      <c r="H276" s="1">
        <v>0</v>
      </c>
      <c r="I276">
        <v>0</v>
      </c>
      <c r="J276" s="1">
        <v>0</v>
      </c>
      <c r="K276" s="286">
        <v>0</v>
      </c>
      <c r="L276" s="288" t="s">
        <v>81</v>
      </c>
      <c r="M276" s="288">
        <v>10000</v>
      </c>
      <c r="N276" s="288">
        <v>4</v>
      </c>
      <c r="O276" s="288" t="s">
        <v>59</v>
      </c>
      <c r="P276" s="288" t="s">
        <v>59</v>
      </c>
      <c r="Q276" s="288" t="s">
        <v>59</v>
      </c>
      <c r="R276" s="288" t="s">
        <v>60</v>
      </c>
      <c r="S276" s="288">
        <v>2</v>
      </c>
      <c r="U276" s="291" t="s">
        <v>285</v>
      </c>
      <c r="V276" t="s">
        <v>25</v>
      </c>
      <c r="W276" t="s">
        <v>26</v>
      </c>
    </row>
    <row r="277" spans="1:23" x14ac:dyDescent="0.25">
      <c r="A277" t="s">
        <v>365</v>
      </c>
      <c r="B277" t="s">
        <v>358</v>
      </c>
      <c r="C277" s="285">
        <v>0</v>
      </c>
      <c r="D277">
        <v>0</v>
      </c>
      <c r="E277">
        <v>100365017.790454</v>
      </c>
      <c r="F277">
        <v>28892461.600946601</v>
      </c>
      <c r="G277">
        <v>28918137.702761501</v>
      </c>
      <c r="H277" s="1">
        <v>0</v>
      </c>
      <c r="I277">
        <v>0</v>
      </c>
      <c r="J277" s="1">
        <v>0</v>
      </c>
      <c r="K277" s="286">
        <v>0</v>
      </c>
      <c r="L277" s="288" t="s">
        <v>81</v>
      </c>
      <c r="M277" s="288">
        <v>10000</v>
      </c>
      <c r="N277" s="288">
        <v>37</v>
      </c>
      <c r="O277" s="288" t="s">
        <v>59</v>
      </c>
      <c r="P277" s="288" t="s">
        <v>59</v>
      </c>
      <c r="Q277" s="288" t="s">
        <v>59</v>
      </c>
      <c r="R277" s="288" t="s">
        <v>60</v>
      </c>
      <c r="S277" s="288">
        <v>5</v>
      </c>
      <c r="U277" s="291" t="s">
        <v>285</v>
      </c>
      <c r="V277" t="s">
        <v>25</v>
      </c>
      <c r="W277" t="s">
        <v>26</v>
      </c>
    </row>
    <row r="278" spans="1:23" x14ac:dyDescent="0.25">
      <c r="A278" s="3" t="s">
        <v>366</v>
      </c>
      <c r="B278" s="3" t="s">
        <v>358</v>
      </c>
      <c r="C278" s="294">
        <v>0</v>
      </c>
      <c r="D278" s="3">
        <v>0</v>
      </c>
      <c r="E278" s="3">
        <v>72150289.211231604</v>
      </c>
      <c r="F278" s="3">
        <v>23518447.606689699</v>
      </c>
      <c r="G278" s="3">
        <v>23529997.907630101</v>
      </c>
      <c r="H278" s="295">
        <v>0</v>
      </c>
      <c r="I278" s="3">
        <v>0</v>
      </c>
      <c r="J278" s="295">
        <v>0</v>
      </c>
      <c r="K278" s="296">
        <v>0</v>
      </c>
      <c r="L278" s="293" t="s">
        <v>110</v>
      </c>
      <c r="M278" s="293"/>
      <c r="N278" s="293"/>
      <c r="O278" s="293"/>
      <c r="P278" s="293"/>
      <c r="Q278" s="293"/>
      <c r="R278" s="293"/>
      <c r="S278" s="293"/>
      <c r="T278" s="293"/>
      <c r="U278" s="301" t="s">
        <v>338</v>
      </c>
      <c r="V278" t="s">
        <v>25</v>
      </c>
      <c r="W278" t="s">
        <v>26</v>
      </c>
    </row>
    <row r="279" spans="1:23" x14ac:dyDescent="0.25">
      <c r="A279" s="3" t="s">
        <v>367</v>
      </c>
      <c r="B279" s="3" t="s">
        <v>358</v>
      </c>
      <c r="C279" s="294">
        <v>0</v>
      </c>
      <c r="D279" s="3">
        <v>0</v>
      </c>
      <c r="E279" s="3">
        <v>62583809.885798298</v>
      </c>
      <c r="F279" s="3">
        <v>28349605.559530601</v>
      </c>
      <c r="G279" s="3">
        <v>28365639.983686201</v>
      </c>
      <c r="H279" s="295">
        <v>0</v>
      </c>
      <c r="I279" s="3">
        <v>0</v>
      </c>
      <c r="J279" s="295">
        <v>0</v>
      </c>
      <c r="K279" s="296">
        <v>0</v>
      </c>
      <c r="L279" s="293" t="s">
        <v>110</v>
      </c>
      <c r="M279" s="293"/>
      <c r="N279" s="293"/>
      <c r="O279" s="293"/>
      <c r="P279" s="293"/>
      <c r="Q279" s="293"/>
      <c r="R279" s="293"/>
      <c r="S279" s="293"/>
      <c r="T279" s="293"/>
      <c r="U279" s="301" t="s">
        <v>338</v>
      </c>
      <c r="V279" t="s">
        <v>25</v>
      </c>
      <c r="W279" t="s">
        <v>26</v>
      </c>
    </row>
    <row r="280" spans="1:23" x14ac:dyDescent="0.25">
      <c r="A280" s="3" t="s">
        <v>368</v>
      </c>
      <c r="B280" s="3" t="s">
        <v>369</v>
      </c>
      <c r="C280" s="285">
        <v>3</v>
      </c>
      <c r="D280">
        <v>2386241.5006335299</v>
      </c>
      <c r="E280">
        <v>77401294.899643302</v>
      </c>
      <c r="F280">
        <v>34260727.256721303</v>
      </c>
      <c r="G280">
        <v>36646968.757354803</v>
      </c>
      <c r="H280">
        <v>3.0829477772012399E-2</v>
      </c>
      <c r="I280">
        <v>3.0829477772012401</v>
      </c>
      <c r="J280">
        <v>6.5114294075267004E-2</v>
      </c>
      <c r="K280" s="286">
        <v>6.5114294075267001</v>
      </c>
      <c r="L280" s="288" t="s">
        <v>28</v>
      </c>
      <c r="M280" s="288">
        <v>5000</v>
      </c>
      <c r="N280" s="288">
        <v>33</v>
      </c>
      <c r="O280" s="288" t="s">
        <v>59</v>
      </c>
      <c r="P280" s="288" t="s">
        <v>59</v>
      </c>
      <c r="Q280" s="288" t="s">
        <v>59</v>
      </c>
      <c r="R280" s="288" t="s">
        <v>29</v>
      </c>
      <c r="S280" s="288">
        <v>5</v>
      </c>
      <c r="U280" s="291" t="s">
        <v>338</v>
      </c>
      <c r="V280" t="s">
        <v>370</v>
      </c>
      <c r="W280" t="s">
        <v>31</v>
      </c>
    </row>
    <row r="281" spans="1:23" x14ac:dyDescent="0.25">
      <c r="A281" s="3" t="s">
        <v>371</v>
      </c>
      <c r="B281" s="3" t="s">
        <v>369</v>
      </c>
      <c r="C281" s="285">
        <v>3</v>
      </c>
      <c r="D281">
        <v>2808897.6689189901</v>
      </c>
      <c r="E281">
        <v>68645721.976131901</v>
      </c>
      <c r="F281">
        <v>30270568.4281624</v>
      </c>
      <c r="G281">
        <v>33079466.0970814</v>
      </c>
      <c r="H281">
        <v>4.09187577617093E-2</v>
      </c>
      <c r="I281">
        <v>4.0918757761709301</v>
      </c>
      <c r="J281">
        <v>8.4913633753200601E-2</v>
      </c>
      <c r="K281" s="286">
        <v>8.4913633753200504</v>
      </c>
      <c r="L281" s="288" t="s">
        <v>28</v>
      </c>
      <c r="M281" s="288">
        <v>5000</v>
      </c>
      <c r="N281" s="288">
        <v>25</v>
      </c>
      <c r="O281" s="288" t="s">
        <v>59</v>
      </c>
      <c r="P281" s="288" t="s">
        <v>59</v>
      </c>
      <c r="Q281" s="288" t="s">
        <v>59</v>
      </c>
      <c r="R281" s="288" t="s">
        <v>29</v>
      </c>
      <c r="S281" s="288">
        <v>5</v>
      </c>
      <c r="U281" s="291" t="s">
        <v>338</v>
      </c>
      <c r="V281" t="s">
        <v>370</v>
      </c>
      <c r="W281" t="s">
        <v>31</v>
      </c>
    </row>
    <row r="282" spans="1:23" x14ac:dyDescent="0.25">
      <c r="A282" s="3" t="s">
        <v>372</v>
      </c>
      <c r="B282" s="3" t="s">
        <v>369</v>
      </c>
      <c r="C282" s="285">
        <v>2</v>
      </c>
      <c r="D282">
        <v>1554282.6234409299</v>
      </c>
      <c r="E282">
        <v>83846581.313503593</v>
      </c>
      <c r="F282">
        <v>35308775.449326999</v>
      </c>
      <c r="G282">
        <v>36863058.072767898</v>
      </c>
      <c r="H282">
        <v>1.85372211853151E-2</v>
      </c>
      <c r="I282">
        <v>1.85372211853151</v>
      </c>
      <c r="J282">
        <v>4.2163691910008197E-2</v>
      </c>
      <c r="K282" s="286">
        <v>4.2163691910008199</v>
      </c>
      <c r="L282" s="288" t="s">
        <v>28</v>
      </c>
      <c r="M282" s="288">
        <v>5000</v>
      </c>
      <c r="N282" s="288">
        <v>27</v>
      </c>
      <c r="O282" s="288" t="s">
        <v>59</v>
      </c>
      <c r="P282" s="288" t="s">
        <v>59</v>
      </c>
      <c r="Q282" s="288" t="s">
        <v>59</v>
      </c>
      <c r="R282" s="288" t="s">
        <v>29</v>
      </c>
      <c r="S282" s="288">
        <v>5</v>
      </c>
      <c r="U282" s="291" t="s">
        <v>338</v>
      </c>
      <c r="V282" t="s">
        <v>370</v>
      </c>
      <c r="W282" t="s">
        <v>31</v>
      </c>
    </row>
    <row r="283" spans="1:23" x14ac:dyDescent="0.25">
      <c r="A283" s="3" t="s">
        <v>373</v>
      </c>
      <c r="B283" s="3" t="s">
        <v>369</v>
      </c>
      <c r="C283" s="285">
        <v>3</v>
      </c>
      <c r="D283">
        <v>3717206.7330191699</v>
      </c>
      <c r="E283">
        <v>78613692.376070097</v>
      </c>
      <c r="F283">
        <v>41005173.852789</v>
      </c>
      <c r="G283">
        <v>44722380.585808203</v>
      </c>
      <c r="H283">
        <v>4.7284469418341198E-2</v>
      </c>
      <c r="I283">
        <v>4.72844694183412</v>
      </c>
      <c r="J283">
        <v>8.3117371757235006E-2</v>
      </c>
      <c r="K283" s="286">
        <v>8.3117371757235006</v>
      </c>
      <c r="L283" s="288" t="s">
        <v>28</v>
      </c>
      <c r="M283" s="288">
        <v>5000</v>
      </c>
      <c r="N283" s="288">
        <v>31</v>
      </c>
      <c r="O283" s="288" t="s">
        <v>59</v>
      </c>
      <c r="P283" s="288" t="s">
        <v>59</v>
      </c>
      <c r="Q283" s="288" t="s">
        <v>59</v>
      </c>
      <c r="R283" s="288" t="s">
        <v>29</v>
      </c>
      <c r="S283" s="288">
        <v>5</v>
      </c>
      <c r="U283" s="291" t="s">
        <v>338</v>
      </c>
      <c r="V283" t="s">
        <v>370</v>
      </c>
      <c r="W283" t="s">
        <v>31</v>
      </c>
    </row>
    <row r="284" spans="1:23" x14ac:dyDescent="0.25">
      <c r="A284" s="3" t="s">
        <v>374</v>
      </c>
      <c r="B284" s="3" t="s">
        <v>369</v>
      </c>
      <c r="C284" s="285">
        <v>3</v>
      </c>
      <c r="D284">
        <v>4350607.81094574</v>
      </c>
      <c r="E284">
        <v>63334364.3640294</v>
      </c>
      <c r="F284">
        <v>27128265.5537389</v>
      </c>
      <c r="G284">
        <v>31478873.3646846</v>
      </c>
      <c r="H284">
        <v>6.86926892632818E-2</v>
      </c>
      <c r="I284">
        <v>6.8692689263281803</v>
      </c>
      <c r="J284">
        <v>0.13820722744882499</v>
      </c>
      <c r="K284" s="286">
        <v>13.820722744882501</v>
      </c>
      <c r="L284" s="288" t="s">
        <v>28</v>
      </c>
      <c r="M284" s="288">
        <v>5000</v>
      </c>
      <c r="N284" s="288">
        <v>23</v>
      </c>
      <c r="O284" s="288" t="s">
        <v>59</v>
      </c>
      <c r="P284" s="288" t="s">
        <v>59</v>
      </c>
      <c r="Q284" s="288" t="s">
        <v>59</v>
      </c>
      <c r="R284" s="288" t="s">
        <v>29</v>
      </c>
      <c r="S284" s="288">
        <v>5</v>
      </c>
      <c r="U284" s="291" t="s">
        <v>338</v>
      </c>
      <c r="V284" t="s">
        <v>370</v>
      </c>
      <c r="W284" t="s">
        <v>31</v>
      </c>
    </row>
    <row r="285" spans="1:23" x14ac:dyDescent="0.25">
      <c r="A285" s="3" t="s">
        <v>375</v>
      </c>
      <c r="B285" s="3" t="s">
        <v>369</v>
      </c>
      <c r="C285" s="285">
        <v>3</v>
      </c>
      <c r="D285">
        <v>3208414.8670779802</v>
      </c>
      <c r="E285">
        <v>87513403.891048998</v>
      </c>
      <c r="F285">
        <v>39917706.860673003</v>
      </c>
      <c r="G285">
        <v>43126121.727751002</v>
      </c>
      <c r="H285">
        <v>3.6661982329842198E-2</v>
      </c>
      <c r="I285">
        <v>3.66619823298422</v>
      </c>
      <c r="J285">
        <v>7.4396090780716198E-2</v>
      </c>
      <c r="K285" s="286">
        <v>7.4396090780716202</v>
      </c>
      <c r="L285" s="288" t="s">
        <v>269</v>
      </c>
      <c r="M285" s="288">
        <v>5000</v>
      </c>
      <c r="N285" s="288">
        <v>29</v>
      </c>
      <c r="O285" s="288" t="s">
        <v>59</v>
      </c>
      <c r="P285" s="288" t="s">
        <v>59</v>
      </c>
      <c r="Q285" s="288" t="s">
        <v>59</v>
      </c>
      <c r="R285" s="288" t="s">
        <v>29</v>
      </c>
      <c r="S285" s="288">
        <v>5</v>
      </c>
      <c r="U285" s="291" t="s">
        <v>338</v>
      </c>
      <c r="V285" t="s">
        <v>370</v>
      </c>
      <c r="W285" t="s">
        <v>31</v>
      </c>
    </row>
    <row r="286" spans="1:23" x14ac:dyDescent="0.25">
      <c r="A286" s="3" t="s">
        <v>376</v>
      </c>
      <c r="B286" s="3" t="s">
        <v>369</v>
      </c>
      <c r="C286" s="285">
        <v>3</v>
      </c>
      <c r="D286">
        <v>2398034.56981338</v>
      </c>
      <c r="E286">
        <v>86885481.461075306</v>
      </c>
      <c r="F286">
        <v>42496293.675046302</v>
      </c>
      <c r="G286">
        <v>44894328.244859599</v>
      </c>
      <c r="H286">
        <v>2.75999456927415E-2</v>
      </c>
      <c r="I286">
        <v>2.7599945692741499</v>
      </c>
      <c r="J286">
        <v>5.3415089690933303E-2</v>
      </c>
      <c r="K286" s="286">
        <v>5.3415089690933302</v>
      </c>
      <c r="L286" s="288" t="s">
        <v>269</v>
      </c>
      <c r="M286" s="288">
        <v>5000</v>
      </c>
      <c r="N286" s="288">
        <v>30</v>
      </c>
      <c r="O286" s="288" t="s">
        <v>59</v>
      </c>
      <c r="P286" s="288" t="s">
        <v>59</v>
      </c>
      <c r="Q286" s="288" t="s">
        <v>59</v>
      </c>
      <c r="R286" s="288" t="s">
        <v>29</v>
      </c>
      <c r="S286" s="288">
        <v>5</v>
      </c>
      <c r="U286" s="291" t="s">
        <v>338</v>
      </c>
      <c r="V286" t="s">
        <v>370</v>
      </c>
      <c r="W286" t="s">
        <v>31</v>
      </c>
    </row>
    <row r="287" spans="1:23" x14ac:dyDescent="0.25">
      <c r="A287" s="3" t="s">
        <v>377</v>
      </c>
      <c r="B287" s="3" t="s">
        <v>369</v>
      </c>
      <c r="C287" s="285">
        <v>2</v>
      </c>
      <c r="D287">
        <v>400227.586820781</v>
      </c>
      <c r="E287">
        <v>50379106.933355696</v>
      </c>
      <c r="F287">
        <v>24204846.864983</v>
      </c>
      <c r="G287">
        <v>24605074.4518038</v>
      </c>
      <c r="H287">
        <v>7.9443168246357294E-3</v>
      </c>
      <c r="I287">
        <v>0.79443168246357299</v>
      </c>
      <c r="J287">
        <v>1.6266058759738401E-2</v>
      </c>
      <c r="K287" s="286">
        <v>1.62660587597384</v>
      </c>
      <c r="L287" s="288" t="s">
        <v>269</v>
      </c>
      <c r="M287" s="288">
        <v>5000</v>
      </c>
      <c r="N287" s="288">
        <v>31</v>
      </c>
      <c r="O287" s="288" t="s">
        <v>59</v>
      </c>
      <c r="P287" s="288" t="s">
        <v>59</v>
      </c>
      <c r="Q287" s="288" t="s">
        <v>59</v>
      </c>
      <c r="R287" s="288" t="s">
        <v>29</v>
      </c>
      <c r="S287" s="288">
        <v>5</v>
      </c>
      <c r="U287" s="291" t="s">
        <v>338</v>
      </c>
      <c r="V287" t="s">
        <v>370</v>
      </c>
      <c r="W287" t="s">
        <v>31</v>
      </c>
    </row>
    <row r="288" spans="1:23" x14ac:dyDescent="0.25">
      <c r="A288" s="3" t="s">
        <v>378</v>
      </c>
      <c r="B288" s="3" t="s">
        <v>369</v>
      </c>
      <c r="C288" s="285">
        <v>3</v>
      </c>
      <c r="D288">
        <v>437933.41527974699</v>
      </c>
      <c r="E288">
        <v>29986116.229169801</v>
      </c>
      <c r="F288">
        <v>14456856.621613299</v>
      </c>
      <c r="G288">
        <v>14894790.036893001</v>
      </c>
      <c r="H288">
        <v>1.46045393785853E-2</v>
      </c>
      <c r="I288">
        <v>1.4604539378585299</v>
      </c>
      <c r="J288">
        <v>2.9401785066793501E-2</v>
      </c>
      <c r="K288" s="286">
        <v>2.94017850667935</v>
      </c>
      <c r="L288" s="288" t="s">
        <v>269</v>
      </c>
      <c r="M288" s="288">
        <v>5000</v>
      </c>
      <c r="N288" s="288">
        <v>27</v>
      </c>
      <c r="O288" s="288" t="s">
        <v>59</v>
      </c>
      <c r="P288" s="288" t="s">
        <v>59</v>
      </c>
      <c r="Q288" s="288" t="s">
        <v>59</v>
      </c>
      <c r="R288" s="288" t="s">
        <v>29</v>
      </c>
      <c r="S288" s="288">
        <v>5</v>
      </c>
      <c r="U288" s="291" t="s">
        <v>338</v>
      </c>
      <c r="V288" t="s">
        <v>370</v>
      </c>
      <c r="W288" t="s">
        <v>31</v>
      </c>
    </row>
    <row r="289" spans="1:23" x14ac:dyDescent="0.25">
      <c r="A289" s="3" t="s">
        <v>379</v>
      </c>
      <c r="B289" s="3" t="s">
        <v>369</v>
      </c>
      <c r="C289" s="285">
        <v>3</v>
      </c>
      <c r="D289">
        <v>3649822.8067192999</v>
      </c>
      <c r="E289">
        <v>103922282.582948</v>
      </c>
      <c r="F289">
        <v>43233349.912866399</v>
      </c>
      <c r="G289">
        <v>46883172.719585702</v>
      </c>
      <c r="H289">
        <v>3.51206951580001E-2</v>
      </c>
      <c r="I289">
        <v>3.5120695158000101</v>
      </c>
      <c r="J289">
        <v>7.7849313410364801E-2</v>
      </c>
      <c r="K289" s="286">
        <v>7.7849313410364802</v>
      </c>
      <c r="L289" s="288" t="s">
        <v>269</v>
      </c>
      <c r="M289" s="288">
        <v>5000</v>
      </c>
      <c r="N289" s="288">
        <v>36</v>
      </c>
      <c r="O289" s="288" t="s">
        <v>59</v>
      </c>
      <c r="P289" s="288" t="s">
        <v>59</v>
      </c>
      <c r="Q289" s="288" t="s">
        <v>59</v>
      </c>
      <c r="R289" s="288" t="s">
        <v>29</v>
      </c>
      <c r="S289" s="288">
        <v>5</v>
      </c>
      <c r="V289" t="s">
        <v>380</v>
      </c>
      <c r="W289" t="s">
        <v>31</v>
      </c>
    </row>
    <row r="290" spans="1:23" x14ac:dyDescent="0.25">
      <c r="A290" s="3"/>
      <c r="B290" s="3" t="s">
        <v>369</v>
      </c>
      <c r="C290" s="285">
        <v>4</v>
      </c>
      <c r="D290">
        <v>2634789.0932563501</v>
      </c>
      <c r="E290">
        <v>88103772.180036306</v>
      </c>
      <c r="F290">
        <v>40175468.386038303</v>
      </c>
      <c r="G290">
        <v>42810257.479294598</v>
      </c>
      <c r="H290">
        <v>2.9905519685039898E-2</v>
      </c>
      <c r="I290">
        <v>2.9905519685039899</v>
      </c>
      <c r="J290">
        <v>6.1545742735387002E-2</v>
      </c>
      <c r="K290" s="286">
        <v>6.1545742735387003</v>
      </c>
      <c r="L290" s="288" t="s">
        <v>269</v>
      </c>
      <c r="M290" s="288">
        <v>5000</v>
      </c>
      <c r="N290" s="292"/>
      <c r="O290" s="288" t="s">
        <v>59</v>
      </c>
      <c r="P290" s="288" t="s">
        <v>59</v>
      </c>
      <c r="Q290" s="288" t="s">
        <v>59</v>
      </c>
      <c r="R290" s="288" t="s">
        <v>29</v>
      </c>
      <c r="S290" s="288">
        <v>5</v>
      </c>
      <c r="V290" t="s">
        <v>380</v>
      </c>
      <c r="W290" t="s">
        <v>31</v>
      </c>
    </row>
    <row r="291" spans="1:23" x14ac:dyDescent="0.25">
      <c r="A291" s="3" t="s">
        <v>381</v>
      </c>
      <c r="B291" s="3" t="s">
        <v>369</v>
      </c>
      <c r="C291" s="285">
        <v>3</v>
      </c>
      <c r="D291">
        <v>443769.75064394303</v>
      </c>
      <c r="E291">
        <v>51434019.426095203</v>
      </c>
      <c r="F291">
        <v>23514350.312309101</v>
      </c>
      <c r="G291">
        <v>23958120.062952999</v>
      </c>
      <c r="H291">
        <v>8.6279422762513998E-3</v>
      </c>
      <c r="I291">
        <v>0.86279422762514002</v>
      </c>
      <c r="J291">
        <v>1.8522728389284301E-2</v>
      </c>
      <c r="K291" s="286">
        <v>1.85227283892843</v>
      </c>
      <c r="L291" s="288" t="s">
        <v>269</v>
      </c>
      <c r="M291" s="288">
        <v>5000</v>
      </c>
      <c r="N291" s="292"/>
      <c r="O291" s="288" t="s">
        <v>59</v>
      </c>
      <c r="P291" s="288" t="s">
        <v>59</v>
      </c>
      <c r="Q291" s="288" t="s">
        <v>59</v>
      </c>
      <c r="R291" s="288" t="s">
        <v>29</v>
      </c>
      <c r="S291" s="288">
        <v>5</v>
      </c>
      <c r="V291" t="s">
        <v>380</v>
      </c>
      <c r="W291" t="s">
        <v>31</v>
      </c>
    </row>
    <row r="295" spans="1:23" x14ac:dyDescent="0.25">
      <c r="L295" s="288">
        <v>33</v>
      </c>
      <c r="M295" s="288">
        <v>25</v>
      </c>
      <c r="N295" s="288">
        <v>27</v>
      </c>
      <c r="O295" s="288">
        <v>31</v>
      </c>
      <c r="P295" s="288">
        <v>23</v>
      </c>
      <c r="Q295" s="288">
        <v>29</v>
      </c>
      <c r="R295" s="288">
        <v>36</v>
      </c>
      <c r="S295" s="288">
        <v>30</v>
      </c>
      <c r="T295" s="288">
        <v>32</v>
      </c>
      <c r="U295" s="291">
        <v>27</v>
      </c>
    </row>
    <row r="296" spans="1:23" x14ac:dyDescent="0.25">
      <c r="M296" s="340"/>
      <c r="N296" s="340"/>
      <c r="O296" s="340"/>
      <c r="P296" s="340"/>
      <c r="Q296" s="340"/>
      <c r="R296" s="340"/>
      <c r="S296" s="340"/>
      <c r="T296" s="340"/>
      <c r="U296" s="341"/>
      <c r="V296" s="339"/>
    </row>
  </sheetData>
  <sortState xmlns:xlrd2="http://schemas.microsoft.com/office/spreadsheetml/2017/richdata2" ref="A2:W291">
    <sortCondition ref="B1:B291"/>
  </sortState>
  <phoneticPr fontId="27" type="noConversion"/>
  <pageMargins left="0.7" right="0.7" top="0.78740157499999996" bottom="0.78740157499999996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54CE-78CF-43A3-800A-36636E7DA7F7}">
  <sheetPr>
    <pageSetUpPr fitToPage="1"/>
  </sheetPr>
  <dimension ref="A1:AA249"/>
  <sheetViews>
    <sheetView tabSelected="1" zoomScale="85" zoomScaleNormal="85" workbookViewId="0">
      <pane ySplit="1" topLeftCell="A2" activePane="bottomLeft" state="frozen"/>
      <selection pane="bottomLeft" activeCell="AE5" sqref="AE5"/>
    </sheetView>
  </sheetViews>
  <sheetFormatPr defaultColWidth="10.7109375" defaultRowHeight="15" x14ac:dyDescent="0.25"/>
  <cols>
    <col min="1" max="1" width="18.140625" bestFit="1" customWidth="1"/>
    <col min="2" max="2" width="13.28515625" bestFit="1" customWidth="1"/>
    <col min="3" max="3" width="18" style="285" bestFit="1" customWidth="1"/>
    <col min="4" max="6" width="12.42578125" bestFit="1" customWidth="1"/>
    <col min="7" max="7" width="16.140625" bestFit="1" customWidth="1"/>
    <col min="8" max="10" width="12.42578125" bestFit="1" customWidth="1"/>
    <col min="11" max="11" width="12.42578125" style="286" bestFit="1" customWidth="1"/>
    <col min="12" max="12" width="16.85546875" style="288" bestFit="1" customWidth="1"/>
    <col min="13" max="14" width="11" style="288" bestFit="1" customWidth="1"/>
    <col min="15" max="17" width="12.42578125" style="288" bestFit="1" customWidth="1"/>
    <col min="18" max="18" width="13" style="288" bestFit="1" customWidth="1"/>
    <col min="19" max="19" width="13.140625" style="288" customWidth="1"/>
    <col min="20" max="20" width="12.42578125" style="288" bestFit="1" customWidth="1"/>
    <col min="21" max="21" width="9.28515625" style="291" bestFit="1" customWidth="1"/>
    <col min="22" max="22" width="8.140625" bestFit="1" customWidth="1"/>
    <col min="23" max="23" width="8" bestFit="1" customWidth="1"/>
  </cols>
  <sheetData>
    <row r="1" spans="1:23" ht="61.5" customHeight="1" x14ac:dyDescent="0.25">
      <c r="A1" s="283" t="s">
        <v>0</v>
      </c>
      <c r="B1" s="283" t="s">
        <v>1</v>
      </c>
      <c r="C1" s="29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98" t="s">
        <v>10</v>
      </c>
      <c r="L1" s="284" t="s">
        <v>11</v>
      </c>
      <c r="M1" s="284" t="s">
        <v>12</v>
      </c>
      <c r="N1" s="299" t="s">
        <v>13</v>
      </c>
      <c r="O1" s="299" t="s">
        <v>14</v>
      </c>
      <c r="P1" s="299" t="s">
        <v>15</v>
      </c>
      <c r="Q1" s="299" t="s">
        <v>16</v>
      </c>
      <c r="R1" s="300" t="s">
        <v>17</v>
      </c>
      <c r="S1" s="300" t="s">
        <v>18</v>
      </c>
      <c r="T1" s="284" t="s">
        <v>19</v>
      </c>
      <c r="U1" s="290" t="s">
        <v>20</v>
      </c>
      <c r="V1" s="283" t="s">
        <v>21</v>
      </c>
      <c r="W1" s="283" t="s">
        <v>22</v>
      </c>
    </row>
    <row r="2" spans="1:23" x14ac:dyDescent="0.25">
      <c r="A2" t="s">
        <v>27</v>
      </c>
      <c r="B2" t="s">
        <v>27</v>
      </c>
      <c r="C2" s="285">
        <v>2</v>
      </c>
      <c r="D2">
        <v>495782.025791444</v>
      </c>
      <c r="E2">
        <v>83985297.927681297</v>
      </c>
      <c r="F2">
        <v>43268352.430529103</v>
      </c>
      <c r="G2">
        <v>43764134.456320502</v>
      </c>
      <c r="H2">
        <v>5.9032001793737302E-3</v>
      </c>
      <c r="I2">
        <v>0.59032001793737199</v>
      </c>
      <c r="J2">
        <v>1.1328500653572E-2</v>
      </c>
      <c r="K2" s="286">
        <v>1.1328500653572</v>
      </c>
      <c r="L2" s="287" t="s">
        <v>28</v>
      </c>
      <c r="M2" s="287">
        <v>300000</v>
      </c>
      <c r="N2" s="287">
        <v>8</v>
      </c>
      <c r="O2" s="287">
        <v>8.058707920660007</v>
      </c>
      <c r="P2" s="288">
        <v>8.9146780853371084</v>
      </c>
      <c r="Q2" s="288">
        <v>4.4022613824546806</v>
      </c>
      <c r="R2" s="288" t="s">
        <v>29</v>
      </c>
      <c r="S2" s="288">
        <v>2</v>
      </c>
      <c r="T2" s="288" t="s">
        <v>66</v>
      </c>
      <c r="U2" s="291" t="s">
        <v>30</v>
      </c>
      <c r="V2" t="s">
        <v>25</v>
      </c>
      <c r="W2" t="s">
        <v>31</v>
      </c>
    </row>
    <row r="3" spans="1:23" x14ac:dyDescent="0.25">
      <c r="A3" t="s">
        <v>32</v>
      </c>
      <c r="B3" t="s">
        <v>32</v>
      </c>
      <c r="C3" s="285">
        <v>0</v>
      </c>
      <c r="D3">
        <v>0</v>
      </c>
      <c r="E3">
        <v>81940652.741658598</v>
      </c>
      <c r="F3">
        <v>43913264.031740203</v>
      </c>
      <c r="G3">
        <v>43958505.006276801</v>
      </c>
      <c r="H3" s="1">
        <v>0</v>
      </c>
      <c r="I3">
        <v>0</v>
      </c>
      <c r="J3" s="1">
        <v>0</v>
      </c>
      <c r="K3" s="286">
        <v>0</v>
      </c>
      <c r="L3" s="288" t="s">
        <v>28</v>
      </c>
      <c r="M3" s="288">
        <v>100000</v>
      </c>
      <c r="N3" s="288">
        <v>9</v>
      </c>
      <c r="O3" s="288">
        <v>6.949120660560216</v>
      </c>
      <c r="P3" s="288">
        <v>8.7397810562469189</v>
      </c>
      <c r="Q3" s="288">
        <v>2.3756636139608855</v>
      </c>
      <c r="R3" s="288" t="s">
        <v>29</v>
      </c>
      <c r="S3" s="288">
        <v>2</v>
      </c>
      <c r="T3" s="288" t="s">
        <v>66</v>
      </c>
      <c r="U3" s="291" t="s">
        <v>30</v>
      </c>
      <c r="V3" t="s">
        <v>25</v>
      </c>
      <c r="W3" t="s">
        <v>26</v>
      </c>
    </row>
    <row r="4" spans="1:23" x14ac:dyDescent="0.25">
      <c r="A4" t="s">
        <v>33</v>
      </c>
      <c r="B4" t="s">
        <v>33</v>
      </c>
      <c r="C4" s="285">
        <v>2</v>
      </c>
      <c r="D4">
        <v>294830.03045961203</v>
      </c>
      <c r="E4">
        <v>75802927.072010294</v>
      </c>
      <c r="F4">
        <v>37426511.217066899</v>
      </c>
      <c r="G4">
        <v>37721341.247526497</v>
      </c>
      <c r="H4">
        <v>3.8894280451668099E-3</v>
      </c>
      <c r="I4">
        <v>0.38894280451668101</v>
      </c>
      <c r="J4">
        <v>7.8160007229049599E-3</v>
      </c>
      <c r="K4" s="286">
        <v>0.781600072290496</v>
      </c>
      <c r="L4" s="288" t="s">
        <v>28</v>
      </c>
      <c r="M4" s="288">
        <v>300000</v>
      </c>
      <c r="N4" s="288">
        <v>5</v>
      </c>
      <c r="O4" s="288">
        <v>7.4346864031154372</v>
      </c>
      <c r="P4" s="288">
        <v>9.3584743322063506</v>
      </c>
      <c r="Q4" s="288">
        <v>4.6020599913279625</v>
      </c>
      <c r="R4" s="288" t="s">
        <v>29</v>
      </c>
      <c r="S4" s="288">
        <v>2</v>
      </c>
      <c r="T4" s="288" t="s">
        <v>66</v>
      </c>
      <c r="U4" s="291" t="s">
        <v>30</v>
      </c>
      <c r="V4" t="s">
        <v>25</v>
      </c>
      <c r="W4" t="s">
        <v>31</v>
      </c>
    </row>
    <row r="5" spans="1:23" x14ac:dyDescent="0.25">
      <c r="A5" t="s">
        <v>36</v>
      </c>
      <c r="B5" t="s">
        <v>36</v>
      </c>
      <c r="C5" s="285">
        <v>4</v>
      </c>
      <c r="D5">
        <v>15782935.857067</v>
      </c>
      <c r="E5">
        <v>79929745.827570304</v>
      </c>
      <c r="F5">
        <v>37627429.689465001</v>
      </c>
      <c r="G5">
        <v>53410365.546531998</v>
      </c>
      <c r="H5">
        <v>0.19746010316503401</v>
      </c>
      <c r="I5">
        <v>19.746010316503401</v>
      </c>
      <c r="J5">
        <v>0.29550323603976503</v>
      </c>
      <c r="K5" s="286">
        <v>29.550323603976501</v>
      </c>
      <c r="L5" s="288" t="s">
        <v>37</v>
      </c>
      <c r="M5" s="288">
        <v>300000</v>
      </c>
      <c r="N5" s="288">
        <v>31</v>
      </c>
      <c r="O5" s="288">
        <v>4.9776394860060327</v>
      </c>
      <c r="P5" s="288">
        <v>8.1916803741874702</v>
      </c>
      <c r="Q5" s="288">
        <v>0</v>
      </c>
      <c r="R5" s="288" t="s">
        <v>29</v>
      </c>
      <c r="S5" s="288">
        <v>4</v>
      </c>
      <c r="T5" s="288" t="s">
        <v>66</v>
      </c>
      <c r="U5" s="291" t="s">
        <v>30</v>
      </c>
      <c r="V5" t="s">
        <v>25</v>
      </c>
      <c r="W5" t="s">
        <v>31</v>
      </c>
    </row>
    <row r="6" spans="1:23" x14ac:dyDescent="0.25">
      <c r="A6" t="s">
        <v>38</v>
      </c>
      <c r="B6" t="s">
        <v>39</v>
      </c>
      <c r="C6" s="285">
        <v>2</v>
      </c>
      <c r="D6">
        <v>500281.81417328201</v>
      </c>
      <c r="E6">
        <v>28779186.0838385</v>
      </c>
      <c r="F6">
        <v>14236556.9419853</v>
      </c>
      <c r="G6">
        <v>14736838.7561586</v>
      </c>
      <c r="H6">
        <v>1.7383459445860502E-2</v>
      </c>
      <c r="I6">
        <v>1.7383459445860501</v>
      </c>
      <c r="J6">
        <v>3.3947702248164402E-2</v>
      </c>
      <c r="K6" s="286">
        <v>3.39477022481644</v>
      </c>
      <c r="L6" s="288" t="s">
        <v>40</v>
      </c>
      <c r="M6" s="288">
        <v>70000</v>
      </c>
      <c r="N6" s="288">
        <v>15</v>
      </c>
      <c r="O6" s="288">
        <v>7.0638409918606246</v>
      </c>
      <c r="P6" s="288">
        <v>10.499695620536041</v>
      </c>
      <c r="Q6" s="288">
        <v>0</v>
      </c>
      <c r="R6" s="288" t="s">
        <v>29</v>
      </c>
      <c r="S6" s="288">
        <v>4</v>
      </c>
      <c r="T6" s="288" t="s">
        <v>66</v>
      </c>
      <c r="U6" s="291" t="s">
        <v>30</v>
      </c>
      <c r="V6" t="s">
        <v>25</v>
      </c>
      <c r="W6" t="s">
        <v>31</v>
      </c>
    </row>
    <row r="7" spans="1:23" x14ac:dyDescent="0.25">
      <c r="A7" t="s">
        <v>41</v>
      </c>
      <c r="B7" t="s">
        <v>42</v>
      </c>
      <c r="C7" s="285">
        <v>4</v>
      </c>
      <c r="D7">
        <v>1215219.2430976699</v>
      </c>
      <c r="E7">
        <v>32070498.502362199</v>
      </c>
      <c r="F7">
        <v>15949851.5765494</v>
      </c>
      <c r="G7">
        <v>17165070.819646999</v>
      </c>
      <c r="H7">
        <v>3.7892122038831598E-2</v>
      </c>
      <c r="I7">
        <v>3.7892122038831602</v>
      </c>
      <c r="J7">
        <v>7.0796051811609098E-2</v>
      </c>
      <c r="K7" s="286">
        <v>7.0796051811609102</v>
      </c>
      <c r="L7" s="288" t="s">
        <v>28</v>
      </c>
      <c r="M7" s="288">
        <v>100000</v>
      </c>
      <c r="N7" s="288">
        <v>29</v>
      </c>
      <c r="O7" s="292"/>
      <c r="P7" s="292"/>
      <c r="Q7" s="288">
        <v>1.6989700043360187</v>
      </c>
      <c r="R7" s="288" t="s">
        <v>29</v>
      </c>
      <c r="S7" s="288">
        <v>4</v>
      </c>
      <c r="T7" s="288" t="s">
        <v>43</v>
      </c>
      <c r="U7" s="291" t="s">
        <v>30</v>
      </c>
      <c r="V7" t="s">
        <v>25</v>
      </c>
      <c r="W7" t="s">
        <v>31</v>
      </c>
    </row>
    <row r="8" spans="1:23" x14ac:dyDescent="0.25">
      <c r="A8" t="s">
        <v>44</v>
      </c>
      <c r="B8" t="s">
        <v>42</v>
      </c>
      <c r="C8" s="285">
        <v>3</v>
      </c>
      <c r="D8">
        <v>426525.92814821698</v>
      </c>
      <c r="E8">
        <v>30274728.4047557</v>
      </c>
      <c r="F8">
        <v>14606336.5971807</v>
      </c>
      <c r="G8">
        <v>15032862.525328901</v>
      </c>
      <c r="H8">
        <v>1.40885137744527E-2</v>
      </c>
      <c r="I8">
        <v>1.40885137744527</v>
      </c>
      <c r="J8">
        <v>2.83729015302016E-2</v>
      </c>
      <c r="K8" s="286">
        <v>2.83729015302016</v>
      </c>
      <c r="L8" s="288" t="s">
        <v>28</v>
      </c>
      <c r="M8" s="288">
        <v>100000</v>
      </c>
      <c r="N8" s="288">
        <v>28</v>
      </c>
      <c r="O8" s="292"/>
      <c r="P8" s="292"/>
      <c r="Q8" s="288">
        <v>2.6989700043360187</v>
      </c>
      <c r="R8" s="288" t="s">
        <v>29</v>
      </c>
      <c r="S8" s="288">
        <v>4</v>
      </c>
      <c r="T8" s="288" t="s">
        <v>43</v>
      </c>
      <c r="U8" s="291" t="s">
        <v>30</v>
      </c>
      <c r="V8" t="s">
        <v>25</v>
      </c>
      <c r="W8" t="s">
        <v>31</v>
      </c>
    </row>
    <row r="9" spans="1:23" x14ac:dyDescent="0.25">
      <c r="A9" t="s">
        <v>45</v>
      </c>
      <c r="B9" t="s">
        <v>46</v>
      </c>
      <c r="C9" s="285">
        <v>0</v>
      </c>
      <c r="D9">
        <v>0</v>
      </c>
      <c r="E9">
        <v>59655272.461457297</v>
      </c>
      <c r="F9">
        <v>33109262.4927148</v>
      </c>
      <c r="G9">
        <v>33177292.935116999</v>
      </c>
      <c r="H9" s="1">
        <v>0</v>
      </c>
      <c r="I9">
        <v>0</v>
      </c>
      <c r="J9" s="1">
        <v>0</v>
      </c>
      <c r="K9" s="286">
        <v>0</v>
      </c>
      <c r="L9" s="288" t="s">
        <v>40</v>
      </c>
      <c r="M9" s="288">
        <v>140000</v>
      </c>
      <c r="N9" s="288">
        <v>10</v>
      </c>
      <c r="O9" s="288">
        <v>6.5497926144585712</v>
      </c>
      <c r="P9" s="288">
        <v>7.7216445395237914</v>
      </c>
      <c r="Q9" s="288">
        <v>0</v>
      </c>
      <c r="R9" s="288" t="s">
        <v>29</v>
      </c>
      <c r="S9" s="288">
        <v>4</v>
      </c>
      <c r="T9" s="288" t="s">
        <v>382</v>
      </c>
      <c r="U9" s="291" t="s">
        <v>30</v>
      </c>
      <c r="V9" t="s">
        <v>25</v>
      </c>
      <c r="W9" t="s">
        <v>26</v>
      </c>
    </row>
    <row r="10" spans="1:23" x14ac:dyDescent="0.25">
      <c r="A10" t="s">
        <v>47</v>
      </c>
      <c r="B10" t="s">
        <v>46</v>
      </c>
      <c r="C10" s="285">
        <v>2</v>
      </c>
      <c r="D10">
        <v>579940.56074136298</v>
      </c>
      <c r="E10">
        <v>61834364.283123903</v>
      </c>
      <c r="F10">
        <v>35521405.665052801</v>
      </c>
      <c r="G10">
        <v>36101346.225794204</v>
      </c>
      <c r="H10">
        <v>9.3789362511428297E-3</v>
      </c>
      <c r="I10">
        <v>0.93789362511428298</v>
      </c>
      <c r="J10">
        <v>1.6064236416951001E-2</v>
      </c>
      <c r="K10" s="286">
        <v>1.6064236416951001</v>
      </c>
      <c r="L10" s="288" t="s">
        <v>40</v>
      </c>
      <c r="M10" s="288">
        <v>140000</v>
      </c>
      <c r="N10" s="288">
        <v>21</v>
      </c>
      <c r="O10" s="288">
        <v>8.1944361077025771</v>
      </c>
      <c r="P10" s="288">
        <v>10.119980752187757</v>
      </c>
      <c r="Q10" s="288">
        <v>1.3010299956639813</v>
      </c>
      <c r="R10" s="288" t="s">
        <v>29</v>
      </c>
      <c r="S10" s="288">
        <v>4</v>
      </c>
      <c r="T10" s="288" t="s">
        <v>383</v>
      </c>
      <c r="U10" s="291" t="s">
        <v>30</v>
      </c>
      <c r="V10" t="s">
        <v>25</v>
      </c>
      <c r="W10" t="s">
        <v>31</v>
      </c>
    </row>
    <row r="11" spans="1:23" x14ac:dyDescent="0.25">
      <c r="A11" t="s">
        <v>48</v>
      </c>
      <c r="B11" t="s">
        <v>49</v>
      </c>
      <c r="C11" s="285">
        <v>2</v>
      </c>
      <c r="D11">
        <v>128077.84688685701</v>
      </c>
      <c r="E11">
        <v>49705264.412845999</v>
      </c>
      <c r="F11">
        <v>26426256.2895982</v>
      </c>
      <c r="G11">
        <v>26554334.1364851</v>
      </c>
      <c r="H11">
        <v>2.5767461133102102E-3</v>
      </c>
      <c r="I11">
        <v>0.25767461133102099</v>
      </c>
      <c r="J11">
        <v>4.8232369988476399E-3</v>
      </c>
      <c r="K11" s="286">
        <v>0.48232369988476398</v>
      </c>
      <c r="L11" s="288" t="s">
        <v>40</v>
      </c>
      <c r="M11" s="288">
        <v>140000</v>
      </c>
      <c r="N11" s="288">
        <v>8</v>
      </c>
      <c r="O11" s="288">
        <v>7.2268314038376955</v>
      </c>
      <c r="P11" s="288">
        <v>8.3473690019574569</v>
      </c>
      <c r="Q11" s="288">
        <v>0.81954393554186866</v>
      </c>
      <c r="R11" s="288" t="s">
        <v>29</v>
      </c>
      <c r="S11" s="288">
        <v>4</v>
      </c>
      <c r="T11" s="288" t="s">
        <v>382</v>
      </c>
      <c r="U11" s="291" t="s">
        <v>30</v>
      </c>
      <c r="V11" t="s">
        <v>25</v>
      </c>
      <c r="W11" t="s">
        <v>31</v>
      </c>
    </row>
    <row r="12" spans="1:23" x14ac:dyDescent="0.25">
      <c r="A12" t="s">
        <v>50</v>
      </c>
      <c r="B12" t="s">
        <v>49</v>
      </c>
      <c r="C12" s="285">
        <v>1</v>
      </c>
      <c r="D12">
        <v>5898.88127100564</v>
      </c>
      <c r="E12">
        <v>54081859.944804497</v>
      </c>
      <c r="F12">
        <v>26121798.505002901</v>
      </c>
      <c r="G12">
        <v>26127697.386273898</v>
      </c>
      <c r="H12">
        <v>1.09073195282595E-4</v>
      </c>
      <c r="I12">
        <v>1.0907319528259501E-2</v>
      </c>
      <c r="J12">
        <v>2.2577118770920001E-4</v>
      </c>
      <c r="K12" s="286">
        <v>2.2577118770920002E-2</v>
      </c>
      <c r="L12" s="288" t="s">
        <v>40</v>
      </c>
      <c r="M12" s="288">
        <v>140000</v>
      </c>
      <c r="N12" s="288">
        <v>6</v>
      </c>
      <c r="O12" s="288">
        <v>7.4686006865421026</v>
      </c>
      <c r="P12" s="288">
        <v>8.3557519523373642</v>
      </c>
      <c r="Q12" s="288">
        <v>0</v>
      </c>
      <c r="R12" s="288" t="s">
        <v>29</v>
      </c>
      <c r="S12" s="288">
        <v>4</v>
      </c>
      <c r="T12" s="288" t="s">
        <v>384</v>
      </c>
      <c r="U12" s="291" t="s">
        <v>30</v>
      </c>
      <c r="V12" t="s">
        <v>25</v>
      </c>
      <c r="W12" t="s">
        <v>31</v>
      </c>
    </row>
    <row r="13" spans="1:23" x14ac:dyDescent="0.25">
      <c r="A13" t="s">
        <v>51</v>
      </c>
      <c r="B13" t="s">
        <v>52</v>
      </c>
      <c r="C13" s="285">
        <v>4</v>
      </c>
      <c r="D13">
        <v>8139969.7349858899</v>
      </c>
      <c r="E13">
        <v>25427118.520778202</v>
      </c>
      <c r="F13">
        <v>5605726.0028117104</v>
      </c>
      <c r="G13">
        <v>13745695.737797599</v>
      </c>
      <c r="H13">
        <v>0.32012946053380598</v>
      </c>
      <c r="I13">
        <v>32.012946053380603</v>
      </c>
      <c r="J13">
        <v>0.59218317430108502</v>
      </c>
      <c r="K13" s="286">
        <v>59.218317430108499</v>
      </c>
      <c r="L13" s="288" t="s">
        <v>53</v>
      </c>
      <c r="M13" s="288">
        <v>10000</v>
      </c>
      <c r="N13" s="288">
        <v>30</v>
      </c>
      <c r="O13" s="288">
        <v>8.2046232699777395</v>
      </c>
      <c r="P13" s="288">
        <v>10.771250545823934</v>
      </c>
      <c r="Q13" s="288">
        <v>6.3010299956639813</v>
      </c>
      <c r="R13" s="288" t="s">
        <v>29</v>
      </c>
      <c r="S13" s="288">
        <v>2</v>
      </c>
      <c r="T13" s="288" t="s">
        <v>385</v>
      </c>
      <c r="V13" t="s">
        <v>25</v>
      </c>
      <c r="W13" t="s">
        <v>31</v>
      </c>
    </row>
    <row r="14" spans="1:23" x14ac:dyDescent="0.25">
      <c r="A14" t="s">
        <v>54</v>
      </c>
      <c r="B14" t="s">
        <v>55</v>
      </c>
      <c r="C14" s="285">
        <v>0</v>
      </c>
      <c r="D14">
        <v>0</v>
      </c>
      <c r="E14">
        <v>55793680.9133889</v>
      </c>
      <c r="F14">
        <v>25496793.386457901</v>
      </c>
      <c r="G14">
        <v>25499466.177974802</v>
      </c>
      <c r="H14" s="1">
        <v>0</v>
      </c>
      <c r="I14">
        <v>0</v>
      </c>
      <c r="J14" s="1">
        <v>0</v>
      </c>
      <c r="K14" s="286">
        <v>0</v>
      </c>
      <c r="L14" s="288" t="s">
        <v>28</v>
      </c>
      <c r="M14" s="288">
        <v>10000</v>
      </c>
      <c r="N14" s="288">
        <v>3</v>
      </c>
      <c r="O14" s="288">
        <v>5.7307970447897283</v>
      </c>
      <c r="P14" s="288">
        <v>7.1900977019088614</v>
      </c>
      <c r="Q14" s="288">
        <v>0</v>
      </c>
      <c r="R14" s="288" t="s">
        <v>29</v>
      </c>
      <c r="S14" s="288">
        <v>4</v>
      </c>
      <c r="T14" s="288" t="s">
        <v>386</v>
      </c>
      <c r="U14" s="291" t="s">
        <v>30</v>
      </c>
      <c r="V14" t="s">
        <v>25</v>
      </c>
      <c r="W14" t="s">
        <v>26</v>
      </c>
    </row>
    <row r="15" spans="1:23" x14ac:dyDescent="0.25">
      <c r="A15" t="s">
        <v>56</v>
      </c>
      <c r="B15" t="s">
        <v>55</v>
      </c>
      <c r="C15" s="285">
        <v>2</v>
      </c>
      <c r="D15">
        <v>211719.07389214399</v>
      </c>
      <c r="E15">
        <v>57380839.1864549</v>
      </c>
      <c r="F15">
        <v>21810135.878511298</v>
      </c>
      <c r="G15">
        <v>22021854.9524034</v>
      </c>
      <c r="H15">
        <v>3.68971728008679E-3</v>
      </c>
      <c r="I15">
        <v>0.368971728008679</v>
      </c>
      <c r="J15">
        <v>9.6140436103016608E-3</v>
      </c>
      <c r="K15" s="286">
        <v>0.96140436103016602</v>
      </c>
      <c r="L15" s="288" t="s">
        <v>28</v>
      </c>
      <c r="M15" s="288">
        <v>10000</v>
      </c>
      <c r="N15" s="288">
        <v>21</v>
      </c>
      <c r="O15" s="288">
        <v>4.8582989908223446</v>
      </c>
      <c r="P15" s="288">
        <v>7.9015724236216007</v>
      </c>
      <c r="Q15" s="288">
        <v>5.9420080530223132</v>
      </c>
      <c r="R15" s="288" t="s">
        <v>29</v>
      </c>
      <c r="S15" s="288">
        <v>2</v>
      </c>
      <c r="T15" s="288" t="s">
        <v>386</v>
      </c>
      <c r="U15" s="291" t="s">
        <v>30</v>
      </c>
      <c r="V15" t="s">
        <v>25</v>
      </c>
      <c r="W15" t="s">
        <v>31</v>
      </c>
    </row>
    <row r="16" spans="1:23" x14ac:dyDescent="0.25">
      <c r="A16" t="s">
        <v>57</v>
      </c>
      <c r="B16" t="s">
        <v>58</v>
      </c>
      <c r="C16" s="285">
        <v>4</v>
      </c>
      <c r="D16">
        <v>6449662.3562817704</v>
      </c>
      <c r="E16">
        <v>25329546.2584958</v>
      </c>
      <c r="F16">
        <v>11266653.425969699</v>
      </c>
      <c r="G16">
        <v>17716315.7822515</v>
      </c>
      <c r="H16">
        <v>0.25462999970315198</v>
      </c>
      <c r="I16">
        <v>25.462999970315199</v>
      </c>
      <c r="J16">
        <v>0.36405212209770699</v>
      </c>
      <c r="K16" s="286">
        <v>36.405212209770703</v>
      </c>
      <c r="L16" s="288" t="s">
        <v>28</v>
      </c>
      <c r="M16" s="288">
        <v>300000</v>
      </c>
      <c r="N16" s="288">
        <v>9</v>
      </c>
      <c r="O16" s="288">
        <v>5.27</v>
      </c>
      <c r="P16" s="288" t="s">
        <v>59</v>
      </c>
      <c r="Q16" s="288">
        <v>3.7403626894942437</v>
      </c>
      <c r="R16" s="288" t="s">
        <v>60</v>
      </c>
      <c r="S16" s="288">
        <v>14</v>
      </c>
      <c r="T16" s="288" t="s">
        <v>66</v>
      </c>
      <c r="U16" s="291" t="s">
        <v>30</v>
      </c>
      <c r="V16" t="s">
        <v>61</v>
      </c>
      <c r="W16" t="s">
        <v>31</v>
      </c>
    </row>
    <row r="17" spans="1:23" x14ac:dyDescent="0.25">
      <c r="A17" t="s">
        <v>62</v>
      </c>
      <c r="B17" t="s">
        <v>58</v>
      </c>
      <c r="C17" s="285">
        <v>0</v>
      </c>
      <c r="D17">
        <v>0</v>
      </c>
      <c r="E17">
        <v>23574109.0727241</v>
      </c>
      <c r="F17">
        <v>11950123.916314799</v>
      </c>
      <c r="G17">
        <v>11954842.175301099</v>
      </c>
      <c r="H17" s="1">
        <v>0</v>
      </c>
      <c r="I17">
        <v>0</v>
      </c>
      <c r="J17" s="1">
        <v>0</v>
      </c>
      <c r="K17" s="286">
        <v>0</v>
      </c>
      <c r="L17" s="288" t="s">
        <v>28</v>
      </c>
      <c r="M17" s="288">
        <v>300000</v>
      </c>
      <c r="N17" s="288">
        <v>11</v>
      </c>
      <c r="O17" s="288">
        <v>6.2728533302890011</v>
      </c>
      <c r="P17" s="288">
        <v>4.1314677078450153</v>
      </c>
      <c r="Q17" s="288">
        <v>0</v>
      </c>
      <c r="R17" s="288" t="s">
        <v>60</v>
      </c>
      <c r="S17" s="288">
        <v>14</v>
      </c>
      <c r="T17" s="288" t="s">
        <v>66</v>
      </c>
      <c r="U17" s="291" t="s">
        <v>30</v>
      </c>
      <c r="V17" t="s">
        <v>61</v>
      </c>
      <c r="W17" t="s">
        <v>26</v>
      </c>
    </row>
    <row r="18" spans="1:23" x14ac:dyDescent="0.25">
      <c r="A18" t="s">
        <v>63</v>
      </c>
      <c r="B18" t="s">
        <v>58</v>
      </c>
      <c r="C18" s="285">
        <v>0</v>
      </c>
      <c r="D18">
        <v>0</v>
      </c>
      <c r="E18">
        <v>21091247.728154801</v>
      </c>
      <c r="F18">
        <v>8849503.9852732792</v>
      </c>
      <c r="G18">
        <v>8851073.3541837092</v>
      </c>
      <c r="H18" s="1">
        <v>0</v>
      </c>
      <c r="I18">
        <v>0</v>
      </c>
      <c r="J18" s="1">
        <v>0</v>
      </c>
      <c r="K18" s="286">
        <v>0</v>
      </c>
      <c r="L18" s="288" t="s">
        <v>28</v>
      </c>
      <c r="M18" s="288">
        <v>300000</v>
      </c>
      <c r="N18" s="288">
        <v>26</v>
      </c>
      <c r="O18" s="288">
        <v>5.0037589858528211</v>
      </c>
      <c r="P18" s="288">
        <v>5.3682636473952563</v>
      </c>
      <c r="Q18" s="288">
        <v>0</v>
      </c>
      <c r="R18" s="288" t="s">
        <v>60</v>
      </c>
      <c r="S18" s="288">
        <v>14</v>
      </c>
      <c r="T18" s="288" t="s">
        <v>66</v>
      </c>
      <c r="U18" s="291" t="s">
        <v>30</v>
      </c>
      <c r="V18" t="s">
        <v>61</v>
      </c>
      <c r="W18" t="s">
        <v>26</v>
      </c>
    </row>
    <row r="19" spans="1:23" x14ac:dyDescent="0.25">
      <c r="A19" t="s">
        <v>64</v>
      </c>
      <c r="B19" t="s">
        <v>58</v>
      </c>
      <c r="C19" s="285">
        <v>0</v>
      </c>
      <c r="D19">
        <v>0</v>
      </c>
      <c r="E19">
        <v>21249287.370588802</v>
      </c>
      <c r="F19">
        <v>11083189.964342499</v>
      </c>
      <c r="G19">
        <v>11085812.206065901</v>
      </c>
      <c r="H19" s="1">
        <v>0</v>
      </c>
      <c r="I19">
        <v>0</v>
      </c>
      <c r="J19" s="1">
        <v>0</v>
      </c>
      <c r="K19" s="286">
        <v>0</v>
      </c>
      <c r="L19" s="288" t="s">
        <v>28</v>
      </c>
      <c r="M19" s="288">
        <v>300000</v>
      </c>
      <c r="N19" s="288">
        <v>14</v>
      </c>
      <c r="O19" s="288">
        <v>7.1274997264128999</v>
      </c>
      <c r="P19" s="288">
        <v>9.4945054908834017</v>
      </c>
      <c r="Q19" s="288">
        <v>2.6989700043360187</v>
      </c>
      <c r="R19" s="288" t="s">
        <v>29</v>
      </c>
      <c r="S19" s="288">
        <v>5</v>
      </c>
      <c r="T19" s="288" t="s">
        <v>66</v>
      </c>
      <c r="U19" s="291" t="s">
        <v>30</v>
      </c>
      <c r="V19" t="s">
        <v>61</v>
      </c>
      <c r="W19" t="s">
        <v>26</v>
      </c>
    </row>
    <row r="20" spans="1:23" x14ac:dyDescent="0.25">
      <c r="A20" t="s">
        <v>65</v>
      </c>
      <c r="B20" t="s">
        <v>58</v>
      </c>
      <c r="C20" s="285">
        <v>3</v>
      </c>
      <c r="D20">
        <v>258241.12512810499</v>
      </c>
      <c r="E20">
        <v>18838182.550130699</v>
      </c>
      <c r="F20">
        <v>9469650.1212218609</v>
      </c>
      <c r="G20">
        <v>9727891.2463499606</v>
      </c>
      <c r="H20">
        <v>1.3708388505148701E-2</v>
      </c>
      <c r="I20">
        <v>1.3708388505148701</v>
      </c>
      <c r="J20">
        <v>2.6546465065077799E-2</v>
      </c>
      <c r="K20" s="286">
        <v>2.6546465065077798</v>
      </c>
      <c r="L20" s="288" t="s">
        <v>28</v>
      </c>
      <c r="M20" s="288">
        <v>300000</v>
      </c>
      <c r="N20" s="288">
        <v>13</v>
      </c>
      <c r="O20" s="288">
        <v>5.3500325747585347</v>
      </c>
      <c r="P20" s="288">
        <v>4.5931432853246967</v>
      </c>
      <c r="Q20" s="288">
        <v>0</v>
      </c>
      <c r="R20" s="288" t="s">
        <v>60</v>
      </c>
      <c r="S20" s="288">
        <v>14</v>
      </c>
      <c r="T20" s="288" t="s">
        <v>66</v>
      </c>
      <c r="U20" s="291" t="s">
        <v>30</v>
      </c>
      <c r="V20" t="s">
        <v>61</v>
      </c>
      <c r="W20" t="s">
        <v>31</v>
      </c>
    </row>
    <row r="21" spans="1:23" x14ac:dyDescent="0.25">
      <c r="A21" t="s">
        <v>67</v>
      </c>
      <c r="B21" t="s">
        <v>58</v>
      </c>
      <c r="C21" s="285">
        <v>4</v>
      </c>
      <c r="D21">
        <v>336038.01752453798</v>
      </c>
      <c r="E21">
        <v>23666372.8919915</v>
      </c>
      <c r="F21">
        <v>16656064.6409896</v>
      </c>
      <c r="G21">
        <v>16992102.658514101</v>
      </c>
      <c r="H21">
        <v>1.41989657248344E-2</v>
      </c>
      <c r="I21">
        <v>1.41989657248344</v>
      </c>
      <c r="J21">
        <v>1.9776129198240299E-2</v>
      </c>
      <c r="K21" s="286">
        <v>1.97761291982403</v>
      </c>
      <c r="L21" s="288" t="s">
        <v>28</v>
      </c>
      <c r="M21" s="288">
        <v>300000</v>
      </c>
      <c r="N21" s="288">
        <v>16</v>
      </c>
      <c r="O21" s="288">
        <v>4.6658798498379115</v>
      </c>
      <c r="P21" s="288">
        <v>4.1579488157348514</v>
      </c>
      <c r="Q21" s="288">
        <v>0</v>
      </c>
      <c r="R21" s="288" t="s">
        <v>60</v>
      </c>
      <c r="S21" s="288">
        <v>14</v>
      </c>
      <c r="T21" s="288" t="s">
        <v>66</v>
      </c>
      <c r="U21" s="291" t="s">
        <v>30</v>
      </c>
      <c r="V21" t="s">
        <v>61</v>
      </c>
      <c r="W21" t="s">
        <v>31</v>
      </c>
    </row>
    <row r="22" spans="1:23" x14ac:dyDescent="0.25">
      <c r="A22" t="s">
        <v>68</v>
      </c>
      <c r="B22" t="s">
        <v>69</v>
      </c>
      <c r="C22" s="285">
        <v>2</v>
      </c>
      <c r="D22">
        <v>21881.061255214299</v>
      </c>
      <c r="E22">
        <v>17073429.958202299</v>
      </c>
      <c r="F22">
        <v>9877143.2839995995</v>
      </c>
      <c r="G22">
        <v>9899024.3452548105</v>
      </c>
      <c r="H22">
        <v>1.28158555772223E-3</v>
      </c>
      <c r="I22">
        <v>0.12815855577222299</v>
      </c>
      <c r="J22">
        <v>2.2104260472602202E-3</v>
      </c>
      <c r="K22" s="286">
        <v>0.221042604726022</v>
      </c>
      <c r="L22" s="288" t="s">
        <v>28</v>
      </c>
      <c r="M22" s="288">
        <v>1000000</v>
      </c>
      <c r="N22" s="288">
        <v>18</v>
      </c>
      <c r="O22" s="288" t="s">
        <v>59</v>
      </c>
      <c r="P22" s="288" t="s">
        <v>59</v>
      </c>
      <c r="Q22" s="288" t="s">
        <v>59</v>
      </c>
      <c r="R22" s="288" t="s">
        <v>60</v>
      </c>
      <c r="S22" s="288">
        <v>14</v>
      </c>
      <c r="T22" s="288" t="s">
        <v>66</v>
      </c>
      <c r="U22" s="291" t="s">
        <v>30</v>
      </c>
      <c r="V22" t="s">
        <v>25</v>
      </c>
      <c r="W22" t="s">
        <v>31</v>
      </c>
    </row>
    <row r="23" spans="1:23" x14ac:dyDescent="0.25">
      <c r="A23" t="s">
        <v>70</v>
      </c>
      <c r="B23" t="s">
        <v>69</v>
      </c>
      <c r="C23" s="285">
        <v>0</v>
      </c>
      <c r="D23">
        <v>0</v>
      </c>
      <c r="E23">
        <v>18301817.601756301</v>
      </c>
      <c r="F23">
        <v>10070811.001760099</v>
      </c>
      <c r="G23">
        <v>10072846.528018299</v>
      </c>
      <c r="H23" s="1">
        <v>0</v>
      </c>
      <c r="I23">
        <v>0</v>
      </c>
      <c r="J23" s="1">
        <v>0</v>
      </c>
      <c r="K23" s="286">
        <v>0</v>
      </c>
      <c r="L23" s="288" t="s">
        <v>28</v>
      </c>
      <c r="M23" s="288">
        <v>1000000</v>
      </c>
      <c r="N23" s="288">
        <v>16</v>
      </c>
      <c r="O23" s="288" t="s">
        <v>59</v>
      </c>
      <c r="P23" s="288" t="s">
        <v>59</v>
      </c>
      <c r="Q23" s="288" t="s">
        <v>59</v>
      </c>
      <c r="R23" s="288" t="s">
        <v>60</v>
      </c>
      <c r="S23" s="288">
        <v>14</v>
      </c>
      <c r="T23" s="288" t="s">
        <v>66</v>
      </c>
      <c r="U23" s="291" t="s">
        <v>30</v>
      </c>
      <c r="V23" t="s">
        <v>25</v>
      </c>
      <c r="W23" t="s">
        <v>26</v>
      </c>
    </row>
    <row r="24" spans="1:23" x14ac:dyDescent="0.25">
      <c r="A24" t="s">
        <v>71</v>
      </c>
      <c r="B24" t="s">
        <v>72</v>
      </c>
      <c r="C24" s="285">
        <v>1</v>
      </c>
      <c r="D24">
        <v>9548.4040893145393</v>
      </c>
      <c r="E24">
        <v>22368038.754823301</v>
      </c>
      <c r="F24">
        <v>9828111.9443852492</v>
      </c>
      <c r="G24">
        <v>9837660.3484745696</v>
      </c>
      <c r="H24">
        <v>4.2687712561547498E-4</v>
      </c>
      <c r="I24">
        <v>4.2687712561547499E-2</v>
      </c>
      <c r="J24">
        <v>9.7059704757901301E-4</v>
      </c>
      <c r="K24" s="286">
        <v>9.7059704757901294E-2</v>
      </c>
      <c r="L24" s="288" t="s">
        <v>28</v>
      </c>
      <c r="M24" s="288">
        <v>100000</v>
      </c>
      <c r="N24" s="288">
        <v>4</v>
      </c>
      <c r="O24" s="288">
        <v>7.2702854190328443</v>
      </c>
      <c r="P24" s="288">
        <v>7.8489548344412281</v>
      </c>
      <c r="Q24" s="288" t="s">
        <v>59</v>
      </c>
      <c r="R24" s="288" t="s">
        <v>73</v>
      </c>
      <c r="S24" s="288">
        <v>5</v>
      </c>
      <c r="T24" s="288" t="s">
        <v>66</v>
      </c>
      <c r="U24" s="291" t="s">
        <v>30</v>
      </c>
      <c r="V24" t="s">
        <v>61</v>
      </c>
      <c r="W24" t="s">
        <v>31</v>
      </c>
    </row>
    <row r="25" spans="1:23" x14ac:dyDescent="0.25">
      <c r="A25" t="s">
        <v>74</v>
      </c>
      <c r="B25" t="s">
        <v>72</v>
      </c>
      <c r="C25" s="285">
        <v>1</v>
      </c>
      <c r="D25">
        <v>16871.349113436099</v>
      </c>
      <c r="E25">
        <v>19000645.646922</v>
      </c>
      <c r="F25">
        <v>7851782.4345468003</v>
      </c>
      <c r="G25">
        <v>7868653.7836602395</v>
      </c>
      <c r="H25">
        <v>8.8793556950361502E-4</v>
      </c>
      <c r="I25">
        <v>8.8793556950361605E-2</v>
      </c>
      <c r="J25">
        <v>2.1441214186434898E-3</v>
      </c>
      <c r="K25" s="286">
        <v>0.21441214186434901</v>
      </c>
      <c r="L25" s="288" t="s">
        <v>28</v>
      </c>
      <c r="M25" s="288">
        <v>100000</v>
      </c>
      <c r="N25" s="288">
        <v>15</v>
      </c>
      <c r="O25" s="288">
        <v>6.5239344854714361</v>
      </c>
      <c r="P25" s="288">
        <v>7.8028713655834858</v>
      </c>
      <c r="Q25" s="288" t="s">
        <v>59</v>
      </c>
      <c r="R25" s="288" t="s">
        <v>75</v>
      </c>
      <c r="S25" s="288">
        <v>5</v>
      </c>
      <c r="T25" s="288" t="s">
        <v>66</v>
      </c>
      <c r="U25" s="291" t="s">
        <v>30</v>
      </c>
      <c r="V25" t="s">
        <v>61</v>
      </c>
      <c r="W25" t="s">
        <v>31</v>
      </c>
    </row>
    <row r="26" spans="1:23" x14ac:dyDescent="0.25">
      <c r="A26" t="s">
        <v>76</v>
      </c>
      <c r="B26" t="s">
        <v>77</v>
      </c>
      <c r="C26" s="285">
        <v>1</v>
      </c>
      <c r="D26">
        <v>42489.289923992699</v>
      </c>
      <c r="E26">
        <v>32524936.3795458</v>
      </c>
      <c r="F26">
        <v>19062594.777059399</v>
      </c>
      <c r="G26">
        <v>19105084.066983402</v>
      </c>
      <c r="H26">
        <v>1.3063604315214901E-3</v>
      </c>
      <c r="I26">
        <v>0.130636043152149</v>
      </c>
      <c r="J26">
        <v>2.2239781712042198E-3</v>
      </c>
      <c r="K26" s="286">
        <v>0.222397817120422</v>
      </c>
      <c r="L26" s="288" t="s">
        <v>28</v>
      </c>
      <c r="M26" s="288">
        <v>100000</v>
      </c>
      <c r="N26" s="288">
        <v>21</v>
      </c>
      <c r="O26" s="288">
        <v>7.1021214236408072</v>
      </c>
      <c r="P26" s="288">
        <v>5.8281885217505236</v>
      </c>
      <c r="Q26" s="288" t="s">
        <v>59</v>
      </c>
      <c r="R26" s="288" t="s">
        <v>78</v>
      </c>
      <c r="S26" s="288">
        <v>5</v>
      </c>
      <c r="T26" s="288" t="s">
        <v>66</v>
      </c>
      <c r="U26" s="291" t="s">
        <v>30</v>
      </c>
      <c r="V26" t="s">
        <v>61</v>
      </c>
      <c r="W26" t="s">
        <v>31</v>
      </c>
    </row>
    <row r="27" spans="1:23" x14ac:dyDescent="0.25">
      <c r="A27" t="s">
        <v>79</v>
      </c>
      <c r="B27" t="s">
        <v>80</v>
      </c>
      <c r="C27" s="285">
        <v>1</v>
      </c>
      <c r="D27">
        <v>19723.4968886815</v>
      </c>
      <c r="E27">
        <v>37537521.842771299</v>
      </c>
      <c r="F27">
        <v>17907541.1439748</v>
      </c>
      <c r="G27">
        <v>17927264.640863501</v>
      </c>
      <c r="H27">
        <v>5.2543417680300797E-4</v>
      </c>
      <c r="I27">
        <v>5.2543417680300797E-2</v>
      </c>
      <c r="J27">
        <v>1.1001955559758699E-3</v>
      </c>
      <c r="K27" s="286">
        <v>0.110019555597587</v>
      </c>
      <c r="L27" s="288" t="s">
        <v>81</v>
      </c>
      <c r="M27" s="288">
        <v>80000</v>
      </c>
      <c r="N27" s="288">
        <v>20</v>
      </c>
      <c r="O27" s="288">
        <v>6.487049543410234</v>
      </c>
      <c r="P27" s="288">
        <v>7.503197860116015</v>
      </c>
      <c r="Q27" s="288">
        <v>0</v>
      </c>
      <c r="R27" s="288" t="s">
        <v>82</v>
      </c>
      <c r="S27" s="288">
        <v>5</v>
      </c>
      <c r="T27" s="288" t="s">
        <v>66</v>
      </c>
      <c r="U27" s="291" t="s">
        <v>30</v>
      </c>
      <c r="V27" t="s">
        <v>61</v>
      </c>
      <c r="W27" t="s">
        <v>31</v>
      </c>
    </row>
    <row r="28" spans="1:23" x14ac:dyDescent="0.25">
      <c r="A28" t="s">
        <v>83</v>
      </c>
      <c r="B28" t="s">
        <v>80</v>
      </c>
      <c r="C28" s="285">
        <v>3</v>
      </c>
      <c r="D28">
        <v>2844050.32097894</v>
      </c>
      <c r="E28">
        <v>35238141.457989</v>
      </c>
      <c r="F28">
        <v>21997538.502750099</v>
      </c>
      <c r="G28">
        <v>24841588.823729001</v>
      </c>
      <c r="H28">
        <v>8.0709430273716895E-2</v>
      </c>
      <c r="I28">
        <v>8.0709430273716904</v>
      </c>
      <c r="J28">
        <v>0.114487456545543</v>
      </c>
      <c r="K28" s="286">
        <v>11.448745654554299</v>
      </c>
      <c r="L28" s="288" t="s">
        <v>81</v>
      </c>
      <c r="M28" s="288">
        <v>80000</v>
      </c>
      <c r="N28" s="288">
        <v>24</v>
      </c>
      <c r="O28" s="288">
        <v>7.2600607910704333</v>
      </c>
      <c r="P28" s="288">
        <v>10.356675855658636</v>
      </c>
      <c r="Q28" s="288">
        <v>0</v>
      </c>
      <c r="R28" s="288" t="s">
        <v>82</v>
      </c>
      <c r="S28" s="288">
        <v>5</v>
      </c>
      <c r="T28" s="288" t="s">
        <v>66</v>
      </c>
      <c r="U28" s="291" t="s">
        <v>30</v>
      </c>
      <c r="V28" t="s">
        <v>61</v>
      </c>
      <c r="W28" t="s">
        <v>31</v>
      </c>
    </row>
    <row r="29" spans="1:23" x14ac:dyDescent="0.25">
      <c r="A29" t="s">
        <v>84</v>
      </c>
      <c r="B29" t="s">
        <v>80</v>
      </c>
      <c r="C29" s="285">
        <v>4</v>
      </c>
      <c r="D29">
        <v>3355689.13905206</v>
      </c>
      <c r="E29">
        <v>34346336.312291101</v>
      </c>
      <c r="F29">
        <v>22692537.918611798</v>
      </c>
      <c r="G29">
        <v>26048227.057663899</v>
      </c>
      <c r="H29">
        <v>9.7701516357981896E-2</v>
      </c>
      <c r="I29">
        <v>9.7701516357982001</v>
      </c>
      <c r="J29">
        <v>0.128826009218341</v>
      </c>
      <c r="K29" s="286">
        <v>12.882600921834101</v>
      </c>
      <c r="L29" s="288" t="s">
        <v>81</v>
      </c>
      <c r="M29" s="288">
        <v>80000</v>
      </c>
      <c r="N29" s="288">
        <v>21</v>
      </c>
      <c r="O29" s="288">
        <v>7.9836663684457863</v>
      </c>
      <c r="P29" s="288">
        <v>9.2933951925387142</v>
      </c>
      <c r="Q29" s="288">
        <v>4.6989700043360187</v>
      </c>
      <c r="R29" s="288" t="s">
        <v>29</v>
      </c>
      <c r="S29" s="288">
        <v>5</v>
      </c>
      <c r="T29" s="288" t="s">
        <v>66</v>
      </c>
      <c r="U29" s="291" t="s">
        <v>30</v>
      </c>
      <c r="V29" t="s">
        <v>61</v>
      </c>
      <c r="W29" t="s">
        <v>31</v>
      </c>
    </row>
    <row r="30" spans="1:23" x14ac:dyDescent="0.25">
      <c r="A30" t="s">
        <v>85</v>
      </c>
      <c r="B30" t="s">
        <v>80</v>
      </c>
      <c r="C30" s="285">
        <v>2</v>
      </c>
      <c r="D30">
        <v>24821.197239561599</v>
      </c>
      <c r="E30">
        <v>22952557.9770023</v>
      </c>
      <c r="F30">
        <v>12449613.933561999</v>
      </c>
      <c r="G30">
        <v>12474435.130801599</v>
      </c>
      <c r="H30">
        <v>1.0814131158902399E-3</v>
      </c>
      <c r="I30">
        <v>0.108141311589024</v>
      </c>
      <c r="J30">
        <v>1.98976522618436E-3</v>
      </c>
      <c r="K30" s="286">
        <v>0.19897652261843601</v>
      </c>
      <c r="L30" s="288" t="s">
        <v>81</v>
      </c>
      <c r="M30" s="288">
        <v>80000</v>
      </c>
      <c r="N30" s="288">
        <v>20</v>
      </c>
      <c r="O30" s="288">
        <v>8.2762156732977594</v>
      </c>
      <c r="P30" s="288">
        <v>9.4483199728379095</v>
      </c>
      <c r="Q30" s="288">
        <v>3.8750612633917001</v>
      </c>
      <c r="R30" s="288" t="s">
        <v>29</v>
      </c>
      <c r="S30" s="288">
        <v>5</v>
      </c>
      <c r="T30" s="288" t="s">
        <v>66</v>
      </c>
      <c r="U30" s="291" t="s">
        <v>30</v>
      </c>
      <c r="V30" t="s">
        <v>25</v>
      </c>
      <c r="W30" t="s">
        <v>31</v>
      </c>
    </row>
    <row r="31" spans="1:23" x14ac:dyDescent="0.25">
      <c r="A31" t="s">
        <v>86</v>
      </c>
      <c r="B31" t="s">
        <v>80</v>
      </c>
      <c r="C31" s="285">
        <v>4</v>
      </c>
      <c r="D31">
        <v>762698.92867858405</v>
      </c>
      <c r="E31">
        <v>30818236.6174796</v>
      </c>
      <c r="F31">
        <v>19405110.2568333</v>
      </c>
      <c r="G31">
        <v>20167809.185511898</v>
      </c>
      <c r="H31">
        <v>2.4748298812333501E-2</v>
      </c>
      <c r="I31">
        <v>2.47482988123335</v>
      </c>
      <c r="J31">
        <v>3.7817639073384701E-2</v>
      </c>
      <c r="K31" s="286">
        <v>3.7817639073384699</v>
      </c>
      <c r="L31" s="288" t="s">
        <v>81</v>
      </c>
      <c r="M31" s="288">
        <v>80000</v>
      </c>
      <c r="N31" s="288">
        <v>18</v>
      </c>
      <c r="O31" s="288">
        <v>8.0294492456877204</v>
      </c>
      <c r="P31" s="288">
        <v>10.435971706399341</v>
      </c>
      <c r="Q31" s="288">
        <v>4.8893017025063106</v>
      </c>
      <c r="R31" s="288" t="s">
        <v>29</v>
      </c>
      <c r="S31" s="288">
        <v>5</v>
      </c>
      <c r="T31" s="288" t="s">
        <v>66</v>
      </c>
      <c r="U31" s="291" t="s">
        <v>30</v>
      </c>
      <c r="V31" t="s">
        <v>25</v>
      </c>
      <c r="W31" t="s">
        <v>31</v>
      </c>
    </row>
    <row r="32" spans="1:23" x14ac:dyDescent="0.25">
      <c r="A32" t="s">
        <v>87</v>
      </c>
      <c r="B32" t="s">
        <v>80</v>
      </c>
      <c r="C32" s="285">
        <v>4</v>
      </c>
      <c r="D32">
        <v>686813.59465572296</v>
      </c>
      <c r="E32">
        <v>30268462.561733399</v>
      </c>
      <c r="F32">
        <v>16548730.167640001</v>
      </c>
      <c r="G32">
        <v>17235543.762295701</v>
      </c>
      <c r="H32">
        <v>2.2690732747160301E-2</v>
      </c>
      <c r="I32">
        <v>2.26907327471603</v>
      </c>
      <c r="J32">
        <v>3.9848675744027597E-2</v>
      </c>
      <c r="K32" s="286">
        <v>3.98486757440276</v>
      </c>
      <c r="L32" s="288" t="s">
        <v>81</v>
      </c>
      <c r="M32" s="288">
        <v>80000</v>
      </c>
      <c r="N32" s="288">
        <v>15</v>
      </c>
      <c r="O32" s="288">
        <v>6.9599074858760517</v>
      </c>
      <c r="P32" s="288">
        <v>10.324385356490428</v>
      </c>
      <c r="Q32" s="288">
        <v>5.0413926851582254</v>
      </c>
      <c r="R32" s="288" t="s">
        <v>29</v>
      </c>
      <c r="S32" s="288">
        <v>5</v>
      </c>
      <c r="T32" s="288" t="s">
        <v>66</v>
      </c>
      <c r="U32" s="291" t="s">
        <v>30</v>
      </c>
      <c r="V32" t="s">
        <v>25</v>
      </c>
      <c r="W32" t="s">
        <v>31</v>
      </c>
    </row>
    <row r="33" spans="1:27" x14ac:dyDescent="0.25">
      <c r="A33" t="s">
        <v>88</v>
      </c>
      <c r="B33" t="s">
        <v>89</v>
      </c>
      <c r="C33" s="285">
        <v>0</v>
      </c>
      <c r="D33">
        <v>0</v>
      </c>
      <c r="E33">
        <v>39308105.771316603</v>
      </c>
      <c r="F33">
        <v>23147781.963383801</v>
      </c>
      <c r="G33">
        <v>23168885.954130501</v>
      </c>
      <c r="H33" s="1">
        <v>0</v>
      </c>
      <c r="I33">
        <v>0</v>
      </c>
      <c r="J33" s="1">
        <v>0</v>
      </c>
      <c r="K33" s="286">
        <v>0</v>
      </c>
      <c r="L33" s="288" t="s">
        <v>81</v>
      </c>
      <c r="M33" s="288">
        <v>80000</v>
      </c>
      <c r="N33" s="288">
        <v>18</v>
      </c>
      <c r="O33" s="288">
        <v>4.794019237521824</v>
      </c>
      <c r="P33" s="288">
        <v>6.5896754555529675</v>
      </c>
      <c r="Q33" s="288" t="s">
        <v>59</v>
      </c>
      <c r="R33" s="288" t="s">
        <v>60</v>
      </c>
      <c r="S33" s="288">
        <v>14</v>
      </c>
      <c r="T33" s="288" t="s">
        <v>66</v>
      </c>
      <c r="U33" s="291" t="s">
        <v>30</v>
      </c>
      <c r="V33" t="s">
        <v>61</v>
      </c>
      <c r="W33" t="s">
        <v>26</v>
      </c>
    </row>
    <row r="34" spans="1:27" x14ac:dyDescent="0.25">
      <c r="A34" t="s">
        <v>90</v>
      </c>
      <c r="B34" t="s">
        <v>91</v>
      </c>
      <c r="C34" s="285">
        <v>3</v>
      </c>
      <c r="D34">
        <v>704802.89059804997</v>
      </c>
      <c r="E34">
        <v>33091925.689851198</v>
      </c>
      <c r="F34">
        <v>12529972.637234</v>
      </c>
      <c r="G34">
        <v>13234775.527832</v>
      </c>
      <c r="H34">
        <v>2.1298334137568799E-2</v>
      </c>
      <c r="I34">
        <v>2.12983341375688</v>
      </c>
      <c r="J34">
        <v>5.3253860567252002E-2</v>
      </c>
      <c r="K34" s="286">
        <v>5.3253860567251996</v>
      </c>
      <c r="L34" s="288" t="s">
        <v>28</v>
      </c>
      <c r="M34" s="288">
        <v>5000</v>
      </c>
      <c r="N34" s="288">
        <v>13</v>
      </c>
      <c r="O34" s="288">
        <v>7.3458783934817644</v>
      </c>
      <c r="P34" s="288">
        <v>10.519677636256876</v>
      </c>
      <c r="Q34" s="288">
        <v>4.5797835966168101</v>
      </c>
      <c r="R34" s="288" t="s">
        <v>29</v>
      </c>
      <c r="S34" s="288">
        <v>5</v>
      </c>
      <c r="T34" s="288" t="s">
        <v>66</v>
      </c>
      <c r="U34" s="291" t="s">
        <v>30</v>
      </c>
      <c r="V34" t="s">
        <v>61</v>
      </c>
      <c r="W34" t="s">
        <v>31</v>
      </c>
      <c r="X34" s="302"/>
      <c r="Y34" s="302"/>
      <c r="Z34" s="302"/>
      <c r="AA34" s="302"/>
    </row>
    <row r="35" spans="1:27" x14ac:dyDescent="0.25">
      <c r="A35" t="s">
        <v>92</v>
      </c>
      <c r="B35" t="s">
        <v>91</v>
      </c>
      <c r="C35" s="285">
        <v>0</v>
      </c>
      <c r="D35">
        <v>0</v>
      </c>
      <c r="E35">
        <v>16679198.743227899</v>
      </c>
      <c r="F35">
        <v>7725882.9276542403</v>
      </c>
      <c r="G35">
        <v>7726108.1807119902</v>
      </c>
      <c r="H35" s="1">
        <v>0</v>
      </c>
      <c r="I35">
        <v>0</v>
      </c>
      <c r="J35" s="1">
        <v>0</v>
      </c>
      <c r="K35" s="286">
        <v>0</v>
      </c>
      <c r="L35" s="288" t="s">
        <v>28</v>
      </c>
      <c r="M35" s="288">
        <v>5000</v>
      </c>
      <c r="N35" s="288">
        <v>7</v>
      </c>
      <c r="O35" s="288">
        <v>7.3807942705356808</v>
      </c>
      <c r="P35" s="288">
        <v>9.7634279935629369</v>
      </c>
      <c r="Q35" s="288">
        <v>3.6232492903979003</v>
      </c>
      <c r="R35" s="288" t="s">
        <v>29</v>
      </c>
      <c r="S35" s="288">
        <v>5</v>
      </c>
      <c r="T35" s="288" t="s">
        <v>66</v>
      </c>
      <c r="U35" s="291" t="s">
        <v>30</v>
      </c>
      <c r="V35" t="s">
        <v>25</v>
      </c>
      <c r="W35" t="s">
        <v>26</v>
      </c>
    </row>
    <row r="36" spans="1:27" x14ac:dyDescent="0.25">
      <c r="A36" t="s">
        <v>93</v>
      </c>
      <c r="B36" t="s">
        <v>91</v>
      </c>
      <c r="C36" s="285">
        <v>4</v>
      </c>
      <c r="D36">
        <v>2428349.3080777898</v>
      </c>
      <c r="E36">
        <v>19753025.844906598</v>
      </c>
      <c r="F36">
        <v>10483031.5647805</v>
      </c>
      <c r="G36">
        <v>12911380.872858301</v>
      </c>
      <c r="H36">
        <v>0.122935560715825</v>
      </c>
      <c r="I36">
        <v>12.293556071582501</v>
      </c>
      <c r="J36">
        <v>0.18807820263303801</v>
      </c>
      <c r="K36" s="286">
        <v>18.8078202633038</v>
      </c>
      <c r="L36" s="288" t="s">
        <v>28</v>
      </c>
      <c r="M36" s="288">
        <v>5000</v>
      </c>
      <c r="N36" s="288">
        <v>28</v>
      </c>
      <c r="O36" s="288">
        <v>6.665681345533728</v>
      </c>
      <c r="P36" s="288">
        <v>10.123851640967086</v>
      </c>
      <c r="Q36" s="288">
        <v>4.5563025007672868</v>
      </c>
      <c r="R36" s="288" t="s">
        <v>29</v>
      </c>
      <c r="S36" s="288">
        <v>5</v>
      </c>
      <c r="T36" s="288" t="s">
        <v>66</v>
      </c>
      <c r="U36" s="291" t="s">
        <v>30</v>
      </c>
      <c r="V36" t="s">
        <v>25</v>
      </c>
      <c r="W36" t="s">
        <v>31</v>
      </c>
    </row>
    <row r="37" spans="1:27" x14ac:dyDescent="0.25">
      <c r="A37" t="s">
        <v>94</v>
      </c>
      <c r="B37" t="s">
        <v>91</v>
      </c>
      <c r="C37" s="285">
        <v>3</v>
      </c>
      <c r="D37">
        <v>2054228.12948624</v>
      </c>
      <c r="E37">
        <v>21875257.103296701</v>
      </c>
      <c r="F37">
        <v>9080651.0534126293</v>
      </c>
      <c r="G37">
        <v>11134879.182898801</v>
      </c>
      <c r="H37">
        <v>9.3906467923371706E-2</v>
      </c>
      <c r="I37">
        <v>9.3906467923371704</v>
      </c>
      <c r="J37">
        <v>0.184485892998386</v>
      </c>
      <c r="K37" s="286">
        <v>18.448589299838599</v>
      </c>
      <c r="L37" s="288" t="s">
        <v>28</v>
      </c>
      <c r="M37" s="288">
        <v>5000</v>
      </c>
      <c r="N37" s="288">
        <v>11</v>
      </c>
      <c r="O37" s="288">
        <v>7.0219003392134995</v>
      </c>
      <c r="P37" s="288">
        <v>10.240549248282599</v>
      </c>
      <c r="Q37" s="288">
        <v>4.3010299956639813</v>
      </c>
      <c r="R37" s="288" t="s">
        <v>29</v>
      </c>
      <c r="S37" s="288">
        <v>5</v>
      </c>
      <c r="T37" s="288" t="s">
        <v>66</v>
      </c>
      <c r="U37" s="291" t="s">
        <v>30</v>
      </c>
      <c r="V37" t="s">
        <v>25</v>
      </c>
      <c r="W37" t="s">
        <v>31</v>
      </c>
    </row>
    <row r="38" spans="1:27" x14ac:dyDescent="0.25">
      <c r="A38" t="s">
        <v>95</v>
      </c>
      <c r="B38" t="s">
        <v>91</v>
      </c>
      <c r="C38" s="285">
        <v>2</v>
      </c>
      <c r="D38">
        <v>470106.71562673402</v>
      </c>
      <c r="E38">
        <v>18392532.4837147</v>
      </c>
      <c r="F38">
        <v>9478697.2962301895</v>
      </c>
      <c r="G38">
        <v>9948804.0118569303</v>
      </c>
      <c r="H38">
        <v>2.5559651235792499E-2</v>
      </c>
      <c r="I38">
        <v>2.55596512357925</v>
      </c>
      <c r="J38">
        <v>4.7252585845139097E-2</v>
      </c>
      <c r="K38" s="286">
        <v>4.7252585845139103</v>
      </c>
      <c r="L38" s="288" t="s">
        <v>96</v>
      </c>
      <c r="M38" s="288">
        <v>2500</v>
      </c>
      <c r="N38" s="288">
        <v>16</v>
      </c>
      <c r="O38" s="288">
        <v>6.4810088341026306</v>
      </c>
      <c r="P38" s="288">
        <v>9.2648178230095368</v>
      </c>
      <c r="Q38" s="288">
        <v>3.3617278360175931</v>
      </c>
      <c r="R38" s="288" t="s">
        <v>29</v>
      </c>
      <c r="S38" s="288">
        <v>5</v>
      </c>
      <c r="T38" s="288" t="s">
        <v>66</v>
      </c>
      <c r="V38" t="s">
        <v>61</v>
      </c>
      <c r="W38" t="s">
        <v>31</v>
      </c>
    </row>
    <row r="39" spans="1:27" x14ac:dyDescent="0.25">
      <c r="A39" t="s">
        <v>97</v>
      </c>
      <c r="B39" t="s">
        <v>91</v>
      </c>
      <c r="C39" s="285">
        <v>1</v>
      </c>
      <c r="D39">
        <v>704.73540722996495</v>
      </c>
      <c r="E39">
        <v>19257027.193323899</v>
      </c>
      <c r="F39">
        <v>10946855.798960799</v>
      </c>
      <c r="G39">
        <v>10947560.5343681</v>
      </c>
      <c r="H39" s="1">
        <v>3.6596272111735E-5</v>
      </c>
      <c r="I39">
        <v>3.6596272111735001E-3</v>
      </c>
      <c r="J39" s="1">
        <v>6.4373739246982099E-5</v>
      </c>
      <c r="K39" s="286">
        <v>6.4373739246982101E-3</v>
      </c>
      <c r="L39" s="288" t="s">
        <v>98</v>
      </c>
      <c r="M39" s="288">
        <v>5000</v>
      </c>
      <c r="N39" s="288">
        <v>6</v>
      </c>
      <c r="O39" s="288">
        <v>6.3579999862874148</v>
      </c>
      <c r="P39" s="288">
        <v>0</v>
      </c>
      <c r="Q39" s="288">
        <v>0</v>
      </c>
      <c r="R39" s="288" t="s">
        <v>29</v>
      </c>
      <c r="S39" s="288">
        <v>5</v>
      </c>
      <c r="T39" s="288" t="s">
        <v>66</v>
      </c>
      <c r="U39" s="291" t="s">
        <v>30</v>
      </c>
      <c r="V39" t="s">
        <v>61</v>
      </c>
      <c r="W39" t="s">
        <v>31</v>
      </c>
      <c r="X39" s="302"/>
      <c r="Y39" s="302"/>
      <c r="Z39" s="302"/>
      <c r="AA39" s="302"/>
    </row>
    <row r="40" spans="1:27" x14ac:dyDescent="0.25">
      <c r="A40" t="s">
        <v>99</v>
      </c>
      <c r="B40" t="s">
        <v>91</v>
      </c>
      <c r="C40" s="285">
        <v>3</v>
      </c>
      <c r="D40">
        <v>804501.80421451898</v>
      </c>
      <c r="E40">
        <v>24021658.1360851</v>
      </c>
      <c r="F40">
        <v>10942115.1435348</v>
      </c>
      <c r="G40">
        <v>11746616.9477493</v>
      </c>
      <c r="H40">
        <v>3.3490685766025499E-2</v>
      </c>
      <c r="I40">
        <v>3.3490685766025501</v>
      </c>
      <c r="J40">
        <v>6.8487957664156301E-2</v>
      </c>
      <c r="K40" s="286">
        <v>6.8487957664156296</v>
      </c>
      <c r="L40" s="288" t="s">
        <v>100</v>
      </c>
      <c r="M40" s="288">
        <v>5000</v>
      </c>
      <c r="N40" s="288">
        <v>24</v>
      </c>
      <c r="O40" s="288">
        <v>7.2477786244721996</v>
      </c>
      <c r="P40" s="288">
        <v>10.421603926869832</v>
      </c>
      <c r="Q40" s="288">
        <v>2.9777236052888476</v>
      </c>
      <c r="R40" s="288" t="s">
        <v>29</v>
      </c>
      <c r="S40" s="288">
        <v>5</v>
      </c>
      <c r="T40" s="288" t="s">
        <v>66</v>
      </c>
      <c r="U40" s="291" t="s">
        <v>30</v>
      </c>
      <c r="V40" t="s">
        <v>25</v>
      </c>
      <c r="W40" t="s">
        <v>31</v>
      </c>
    </row>
    <row r="41" spans="1:27" x14ac:dyDescent="0.25">
      <c r="A41" t="s">
        <v>101</v>
      </c>
      <c r="B41" t="s">
        <v>91</v>
      </c>
      <c r="C41" s="285">
        <v>3</v>
      </c>
      <c r="D41">
        <v>1254432.4647644099</v>
      </c>
      <c r="E41">
        <v>27124672.278406098</v>
      </c>
      <c r="F41">
        <v>11218850.747468799</v>
      </c>
      <c r="G41">
        <v>12473283.212233299</v>
      </c>
      <c r="H41">
        <v>4.62469168987183E-2</v>
      </c>
      <c r="I41">
        <v>4.6246916898718302</v>
      </c>
      <c r="J41">
        <v>0.100569548804449</v>
      </c>
      <c r="K41" s="286">
        <v>10.0569548804449</v>
      </c>
      <c r="L41" s="288" t="s">
        <v>100</v>
      </c>
      <c r="M41" s="288">
        <v>5000</v>
      </c>
      <c r="N41" s="288">
        <v>31</v>
      </c>
      <c r="O41" s="288">
        <v>6.6585550220450234</v>
      </c>
      <c r="P41" s="288">
        <v>10.523746466811565</v>
      </c>
      <c r="Q41" s="288">
        <v>4.2787536009528289</v>
      </c>
      <c r="R41" s="288" t="s">
        <v>29</v>
      </c>
      <c r="S41" s="288">
        <v>5</v>
      </c>
      <c r="T41" s="288" t="s">
        <v>66</v>
      </c>
      <c r="U41" s="291" t="s">
        <v>30</v>
      </c>
      <c r="V41" t="s">
        <v>25</v>
      </c>
      <c r="W41" t="s">
        <v>31</v>
      </c>
    </row>
    <row r="42" spans="1:27" x14ac:dyDescent="0.25">
      <c r="A42" t="s">
        <v>102</v>
      </c>
      <c r="B42" t="s">
        <v>91</v>
      </c>
      <c r="C42" s="285">
        <v>3</v>
      </c>
      <c r="D42">
        <v>1370583.0361117499</v>
      </c>
      <c r="E42">
        <v>19949480.633739699</v>
      </c>
      <c r="F42">
        <v>9183776.5590403602</v>
      </c>
      <c r="G42">
        <v>10554359.595152101</v>
      </c>
      <c r="H42">
        <v>6.8702692630190104E-2</v>
      </c>
      <c r="I42">
        <v>6.8702692630190096</v>
      </c>
      <c r="J42">
        <v>0.12985942195311301</v>
      </c>
      <c r="K42" s="286">
        <v>12.985942195311299</v>
      </c>
      <c r="L42" s="288" t="s">
        <v>100</v>
      </c>
      <c r="M42" s="288">
        <v>5000</v>
      </c>
      <c r="N42" s="288">
        <v>17</v>
      </c>
      <c r="O42" s="288">
        <v>6.7090552205246325</v>
      </c>
      <c r="P42" s="288">
        <v>10.758154621967391</v>
      </c>
      <c r="Q42" s="288">
        <v>4.3424226808222066</v>
      </c>
      <c r="R42" s="288" t="s">
        <v>29</v>
      </c>
      <c r="S42" s="288">
        <v>5</v>
      </c>
      <c r="T42" s="288" t="s">
        <v>66</v>
      </c>
      <c r="U42" s="288" t="s">
        <v>30</v>
      </c>
      <c r="V42" t="s">
        <v>25</v>
      </c>
      <c r="W42" t="s">
        <v>31</v>
      </c>
    </row>
    <row r="43" spans="1:27" x14ac:dyDescent="0.25">
      <c r="A43" t="s">
        <v>103</v>
      </c>
      <c r="B43" t="s">
        <v>91</v>
      </c>
      <c r="C43" s="285">
        <v>2</v>
      </c>
      <c r="D43">
        <v>535213.188336008</v>
      </c>
      <c r="E43">
        <v>25889567.8547469</v>
      </c>
      <c r="F43">
        <v>11174474.835161701</v>
      </c>
      <c r="G43">
        <v>11709688.023497701</v>
      </c>
      <c r="H43">
        <v>2.0672928622787901E-2</v>
      </c>
      <c r="I43">
        <v>2.0672928622787898</v>
      </c>
      <c r="J43">
        <v>4.5706870009004599E-2</v>
      </c>
      <c r="K43" s="286">
        <v>4.5706870009004597</v>
      </c>
      <c r="L43" s="288" t="s">
        <v>100</v>
      </c>
      <c r="M43" s="288">
        <v>5000</v>
      </c>
      <c r="N43" s="288">
        <v>16</v>
      </c>
      <c r="O43" s="288">
        <v>7.1019911242142895</v>
      </c>
      <c r="P43" s="288">
        <v>9.8007170782823856</v>
      </c>
      <c r="Q43" s="288">
        <v>2.9190780923760737</v>
      </c>
      <c r="R43" s="288" t="s">
        <v>29</v>
      </c>
      <c r="S43" s="288">
        <v>5</v>
      </c>
      <c r="T43" s="288" t="s">
        <v>66</v>
      </c>
      <c r="U43" s="291" t="s">
        <v>30</v>
      </c>
      <c r="V43" t="s">
        <v>25</v>
      </c>
      <c r="W43" t="s">
        <v>31</v>
      </c>
    </row>
    <row r="44" spans="1:27" x14ac:dyDescent="0.25">
      <c r="A44" t="s">
        <v>104</v>
      </c>
      <c r="B44" t="s">
        <v>91</v>
      </c>
      <c r="C44" s="285">
        <v>3</v>
      </c>
      <c r="D44">
        <v>755649.799499535</v>
      </c>
      <c r="E44">
        <v>23740769.4386773</v>
      </c>
      <c r="F44">
        <v>12126441.935734499</v>
      </c>
      <c r="G44">
        <v>12882091.735234</v>
      </c>
      <c r="H44">
        <v>3.1829204249314097E-2</v>
      </c>
      <c r="I44">
        <v>3.1829204249314098</v>
      </c>
      <c r="J44">
        <v>5.8658936376981601E-2</v>
      </c>
      <c r="K44" s="286">
        <v>5.8658936376981599</v>
      </c>
      <c r="L44" s="288" t="s">
        <v>105</v>
      </c>
      <c r="M44" s="288">
        <v>5000</v>
      </c>
      <c r="N44" s="288">
        <v>19</v>
      </c>
      <c r="O44" s="288">
        <v>6.5660098227807859</v>
      </c>
      <c r="P44" s="288">
        <v>9.8007170782823856</v>
      </c>
      <c r="Q44" s="288">
        <v>3.6127838567197355</v>
      </c>
      <c r="R44" s="288" t="s">
        <v>29</v>
      </c>
      <c r="S44" s="288">
        <v>5</v>
      </c>
      <c r="T44" s="288" t="s">
        <v>66</v>
      </c>
      <c r="U44" s="291" t="s">
        <v>30</v>
      </c>
      <c r="V44" t="s">
        <v>61</v>
      </c>
      <c r="W44" t="s">
        <v>31</v>
      </c>
    </row>
    <row r="45" spans="1:27" x14ac:dyDescent="0.25">
      <c r="A45" t="s">
        <v>106</v>
      </c>
      <c r="B45" t="s">
        <v>91</v>
      </c>
      <c r="C45" s="285">
        <v>0</v>
      </c>
      <c r="D45">
        <v>0</v>
      </c>
      <c r="E45">
        <v>25838366.279179901</v>
      </c>
      <c r="F45">
        <v>10059758.216584601</v>
      </c>
      <c r="G45">
        <v>10059781.2706568</v>
      </c>
      <c r="H45" s="1">
        <v>0</v>
      </c>
      <c r="I45">
        <v>0</v>
      </c>
      <c r="J45" s="1">
        <v>0</v>
      </c>
      <c r="K45" s="286">
        <v>0</v>
      </c>
      <c r="L45" s="288" t="s">
        <v>105</v>
      </c>
      <c r="M45" s="288">
        <v>5000</v>
      </c>
      <c r="N45" s="288">
        <v>7</v>
      </c>
      <c r="O45" s="288">
        <v>6.4163745245321371</v>
      </c>
      <c r="P45" s="288">
        <v>6.4269378640272912</v>
      </c>
      <c r="Q45" s="288">
        <v>0</v>
      </c>
      <c r="R45" s="288" t="s">
        <v>29</v>
      </c>
      <c r="S45" s="288">
        <v>5</v>
      </c>
      <c r="T45" s="288" t="s">
        <v>66</v>
      </c>
      <c r="U45" s="291" t="s">
        <v>30</v>
      </c>
      <c r="V45" t="s">
        <v>25</v>
      </c>
      <c r="W45" t="s">
        <v>26</v>
      </c>
    </row>
    <row r="46" spans="1:27" x14ac:dyDescent="0.25">
      <c r="A46" t="s">
        <v>107</v>
      </c>
      <c r="B46" t="s">
        <v>91</v>
      </c>
      <c r="C46" s="285">
        <v>3</v>
      </c>
      <c r="D46">
        <v>722275.14031851699</v>
      </c>
      <c r="E46">
        <v>19818140.742216699</v>
      </c>
      <c r="F46">
        <v>9644808.01378881</v>
      </c>
      <c r="G46">
        <v>10367083.154107301</v>
      </c>
      <c r="H46">
        <v>3.64451514253262E-2</v>
      </c>
      <c r="I46">
        <v>3.6445151425326201</v>
      </c>
      <c r="J46">
        <v>6.9670044079115798E-2</v>
      </c>
      <c r="K46" s="286">
        <v>6.9670044079115803</v>
      </c>
      <c r="L46" s="288" t="s">
        <v>105</v>
      </c>
      <c r="M46" s="288">
        <v>5000</v>
      </c>
      <c r="N46" s="288">
        <v>14</v>
      </c>
      <c r="O46" s="288">
        <v>7.1582936027014696</v>
      </c>
      <c r="P46" s="288">
        <v>9.8715729355458794</v>
      </c>
      <c r="Q46" s="288">
        <v>3.3222192947339191</v>
      </c>
      <c r="R46" s="288" t="s">
        <v>29</v>
      </c>
      <c r="S46" s="288">
        <v>5</v>
      </c>
      <c r="T46" s="288" t="s">
        <v>66</v>
      </c>
      <c r="U46" s="291" t="s">
        <v>30</v>
      </c>
      <c r="V46" t="s">
        <v>25</v>
      </c>
      <c r="W46" t="s">
        <v>31</v>
      </c>
    </row>
    <row r="47" spans="1:27" x14ac:dyDescent="0.25">
      <c r="A47" t="s">
        <v>108</v>
      </c>
      <c r="B47" t="s">
        <v>91</v>
      </c>
      <c r="C47" s="285">
        <v>0</v>
      </c>
      <c r="D47">
        <v>0</v>
      </c>
      <c r="E47">
        <v>24118928.207061399</v>
      </c>
      <c r="F47">
        <v>11024611.30425</v>
      </c>
      <c r="G47">
        <v>11024677.082383901</v>
      </c>
      <c r="H47" s="1">
        <v>0</v>
      </c>
      <c r="I47">
        <v>0</v>
      </c>
      <c r="J47" s="1">
        <v>0</v>
      </c>
      <c r="K47" s="286">
        <v>0</v>
      </c>
      <c r="L47" s="288" t="s">
        <v>105</v>
      </c>
      <c r="M47" s="288">
        <v>5000</v>
      </c>
      <c r="N47" s="288">
        <v>7</v>
      </c>
      <c r="O47" s="288">
        <v>7.0121456823778825</v>
      </c>
      <c r="P47" s="288">
        <v>7.9446913794544702</v>
      </c>
      <c r="Q47" s="288">
        <v>2.2787536009528289</v>
      </c>
      <c r="R47" s="288" t="s">
        <v>29</v>
      </c>
      <c r="S47" s="288">
        <v>5</v>
      </c>
      <c r="T47" s="288" t="s">
        <v>66</v>
      </c>
      <c r="V47" t="s">
        <v>25</v>
      </c>
      <c r="W47" t="s">
        <v>26</v>
      </c>
    </row>
    <row r="48" spans="1:27" x14ac:dyDescent="0.25">
      <c r="A48" t="s">
        <v>111</v>
      </c>
      <c r="B48" t="s">
        <v>112</v>
      </c>
      <c r="C48" s="285">
        <v>4</v>
      </c>
      <c r="D48">
        <v>4842926.43805301</v>
      </c>
      <c r="E48">
        <v>22372981.3198044</v>
      </c>
      <c r="F48">
        <v>8123630.89725044</v>
      </c>
      <c r="G48">
        <v>12966557.3353034</v>
      </c>
      <c r="H48">
        <v>0.21646316907108301</v>
      </c>
      <c r="I48">
        <v>21.6463169071083</v>
      </c>
      <c r="J48">
        <v>0.37349361999637298</v>
      </c>
      <c r="K48" s="286">
        <v>37.349361999637303</v>
      </c>
      <c r="L48" s="288" t="s">
        <v>28</v>
      </c>
      <c r="M48" s="288">
        <v>5000</v>
      </c>
      <c r="N48" s="288">
        <v>20</v>
      </c>
      <c r="O48" s="288" t="s">
        <v>59</v>
      </c>
      <c r="P48" s="288">
        <v>12.557507201905658</v>
      </c>
      <c r="Q48" s="288">
        <v>3.4149733479708178</v>
      </c>
      <c r="R48" s="288" t="s">
        <v>29</v>
      </c>
      <c r="S48" s="288">
        <v>5</v>
      </c>
      <c r="T48" s="288" t="s">
        <v>66</v>
      </c>
      <c r="U48" s="291" t="s">
        <v>30</v>
      </c>
      <c r="V48" t="s">
        <v>25</v>
      </c>
      <c r="W48" t="s">
        <v>31</v>
      </c>
    </row>
    <row r="49" spans="1:24" x14ac:dyDescent="0.25">
      <c r="A49" t="s">
        <v>113</v>
      </c>
      <c r="B49" t="s">
        <v>112</v>
      </c>
      <c r="C49" s="285">
        <v>4</v>
      </c>
      <c r="D49">
        <v>2685793.7761981902</v>
      </c>
      <c r="E49">
        <v>20049898.110807698</v>
      </c>
      <c r="F49">
        <v>8767526.6094649099</v>
      </c>
      <c r="G49">
        <v>11453320.3856631</v>
      </c>
      <c r="H49">
        <v>0.13395548253436901</v>
      </c>
      <c r="I49">
        <v>13.3955482534369</v>
      </c>
      <c r="J49">
        <v>0.23449913961720401</v>
      </c>
      <c r="K49" s="286">
        <v>23.449913961720402</v>
      </c>
      <c r="L49" s="288" t="s">
        <v>28</v>
      </c>
      <c r="M49" s="288">
        <v>5000</v>
      </c>
      <c r="N49" s="288">
        <v>16</v>
      </c>
      <c r="O49" s="288" t="s">
        <v>59</v>
      </c>
      <c r="P49" s="288">
        <v>12.490278811555903</v>
      </c>
      <c r="Q49" s="288">
        <v>4.5910646070264995</v>
      </c>
      <c r="R49" s="288" t="s">
        <v>29</v>
      </c>
      <c r="S49" s="288">
        <v>5</v>
      </c>
      <c r="T49" s="288" t="s">
        <v>66</v>
      </c>
      <c r="U49" s="291" t="s">
        <v>30</v>
      </c>
      <c r="V49" t="s">
        <v>25</v>
      </c>
      <c r="W49" t="s">
        <v>31</v>
      </c>
    </row>
    <row r="50" spans="1:24" x14ac:dyDescent="0.25">
      <c r="A50" t="s">
        <v>114</v>
      </c>
      <c r="B50" t="s">
        <v>112</v>
      </c>
      <c r="C50" s="285">
        <v>0</v>
      </c>
      <c r="D50">
        <v>0</v>
      </c>
      <c r="E50">
        <v>18063783.414916899</v>
      </c>
      <c r="F50">
        <v>6936057.79382715</v>
      </c>
      <c r="G50">
        <v>6937706.9001340698</v>
      </c>
      <c r="H50" s="1">
        <v>0</v>
      </c>
      <c r="I50">
        <v>0</v>
      </c>
      <c r="J50" s="1">
        <v>0</v>
      </c>
      <c r="K50" s="286">
        <v>0</v>
      </c>
      <c r="L50" s="288" t="s">
        <v>28</v>
      </c>
      <c r="M50" s="288">
        <v>5000</v>
      </c>
      <c r="N50" s="288">
        <v>1</v>
      </c>
      <c r="O50" s="288" t="s">
        <v>59</v>
      </c>
      <c r="P50" s="288">
        <v>8.6263403673750432</v>
      </c>
      <c r="Q50" s="288">
        <v>3.7075701760979363</v>
      </c>
      <c r="R50" s="288" t="s">
        <v>29</v>
      </c>
      <c r="S50" s="288">
        <v>5</v>
      </c>
      <c r="T50" s="288" t="s">
        <v>66</v>
      </c>
      <c r="U50" s="291" t="s">
        <v>30</v>
      </c>
      <c r="V50" t="s">
        <v>25</v>
      </c>
      <c r="W50" t="s">
        <v>26</v>
      </c>
    </row>
    <row r="51" spans="1:24" x14ac:dyDescent="0.25">
      <c r="A51" t="s">
        <v>115</v>
      </c>
      <c r="B51" t="s">
        <v>112</v>
      </c>
      <c r="C51" s="285">
        <v>4</v>
      </c>
      <c r="D51">
        <v>3030508.72182348</v>
      </c>
      <c r="E51">
        <v>19791108.419431701</v>
      </c>
      <c r="F51">
        <v>9180817.32921087</v>
      </c>
      <c r="G51">
        <v>12211326.0510343</v>
      </c>
      <c r="H51">
        <v>0.15312475974554299</v>
      </c>
      <c r="I51">
        <v>15.3124759745543</v>
      </c>
      <c r="J51">
        <v>0.248171960126049</v>
      </c>
      <c r="K51" s="286">
        <v>24.817196012604899</v>
      </c>
      <c r="L51" s="288" t="s">
        <v>28</v>
      </c>
      <c r="M51" s="288">
        <v>5000</v>
      </c>
      <c r="N51" s="288">
        <v>23</v>
      </c>
      <c r="O51" s="288" t="s">
        <v>59</v>
      </c>
      <c r="P51" s="288">
        <v>11.986771734266245</v>
      </c>
      <c r="Q51" s="288">
        <v>4.6812412373755876</v>
      </c>
      <c r="R51" s="288" t="s">
        <v>29</v>
      </c>
      <c r="S51" s="288">
        <v>5</v>
      </c>
      <c r="T51" s="288" t="s">
        <v>66</v>
      </c>
      <c r="U51" s="291" t="s">
        <v>30</v>
      </c>
      <c r="V51" t="s">
        <v>25</v>
      </c>
      <c r="W51" t="s">
        <v>31</v>
      </c>
    </row>
    <row r="52" spans="1:24" x14ac:dyDescent="0.25">
      <c r="A52" t="s">
        <v>116</v>
      </c>
      <c r="B52" t="s">
        <v>112</v>
      </c>
      <c r="C52" s="285">
        <v>2</v>
      </c>
      <c r="D52">
        <v>240449.93084966499</v>
      </c>
      <c r="E52">
        <v>20344360.546752699</v>
      </c>
      <c r="F52">
        <v>8707542.0969173908</v>
      </c>
      <c r="G52">
        <v>8947992.0277670603</v>
      </c>
      <c r="H52">
        <v>1.18189967336203E-2</v>
      </c>
      <c r="I52">
        <v>1.1818996733620299</v>
      </c>
      <c r="J52">
        <v>2.68719429011012E-2</v>
      </c>
      <c r="K52" s="286">
        <v>2.6871942901101198</v>
      </c>
      <c r="L52" s="288" t="s">
        <v>28</v>
      </c>
      <c r="M52" s="288">
        <v>5000</v>
      </c>
      <c r="N52" s="288">
        <v>19</v>
      </c>
      <c r="O52" s="288" t="s">
        <v>59</v>
      </c>
      <c r="P52" s="288">
        <v>10.429752280002408</v>
      </c>
      <c r="Q52" s="288">
        <v>2.4149733479708178</v>
      </c>
      <c r="R52" s="288" t="s">
        <v>29</v>
      </c>
      <c r="S52" s="288">
        <v>5</v>
      </c>
      <c r="T52" s="288" t="s">
        <v>66</v>
      </c>
      <c r="U52" s="291" t="s">
        <v>30</v>
      </c>
      <c r="V52" t="s">
        <v>25</v>
      </c>
      <c r="W52" t="s">
        <v>31</v>
      </c>
    </row>
    <row r="53" spans="1:24" x14ac:dyDescent="0.25">
      <c r="A53" t="s">
        <v>117</v>
      </c>
      <c r="B53" t="s">
        <v>112</v>
      </c>
      <c r="C53" s="285">
        <v>2</v>
      </c>
      <c r="D53">
        <v>101657.864629092</v>
      </c>
      <c r="E53">
        <v>19320449.210425299</v>
      </c>
      <c r="F53">
        <v>8567393.9944888502</v>
      </c>
      <c r="G53">
        <v>8669051.8591179401</v>
      </c>
      <c r="H53">
        <v>5.2616718960260102E-3</v>
      </c>
      <c r="I53">
        <v>0.526167189602601</v>
      </c>
      <c r="J53">
        <v>1.17265263008169E-2</v>
      </c>
      <c r="K53" s="286">
        <v>1.17265263008169</v>
      </c>
      <c r="L53" s="288" t="s">
        <v>28</v>
      </c>
      <c r="M53" s="288">
        <v>5000</v>
      </c>
      <c r="N53" s="288">
        <v>0</v>
      </c>
      <c r="O53" s="288" t="s">
        <v>59</v>
      </c>
      <c r="P53" s="288">
        <v>10.561101383649056</v>
      </c>
      <c r="Q53" s="288">
        <v>2.3010299956639813</v>
      </c>
      <c r="R53" s="288" t="s">
        <v>29</v>
      </c>
      <c r="S53" s="288">
        <v>5</v>
      </c>
      <c r="T53" s="288" t="s">
        <v>66</v>
      </c>
      <c r="U53" s="291" t="s">
        <v>30</v>
      </c>
      <c r="V53" t="s">
        <v>25</v>
      </c>
      <c r="W53" t="s">
        <v>31</v>
      </c>
    </row>
    <row r="54" spans="1:24" x14ac:dyDescent="0.25">
      <c r="A54" t="s">
        <v>118</v>
      </c>
      <c r="B54" t="s">
        <v>112</v>
      </c>
      <c r="C54" s="285">
        <v>2</v>
      </c>
      <c r="D54">
        <v>116829.574715907</v>
      </c>
      <c r="E54">
        <v>24602562.417078599</v>
      </c>
      <c r="F54">
        <v>9616672.0058407504</v>
      </c>
      <c r="G54">
        <v>9733501.5805566609</v>
      </c>
      <c r="H54">
        <v>4.7486750662527003E-3</v>
      </c>
      <c r="I54">
        <v>0.47486750662527</v>
      </c>
      <c r="J54">
        <v>1.2002831021189901E-2</v>
      </c>
      <c r="K54" s="286">
        <v>1.2002831021189899</v>
      </c>
      <c r="L54" s="288" t="s">
        <v>28</v>
      </c>
      <c r="M54" s="288">
        <v>5000</v>
      </c>
      <c r="N54" s="288">
        <v>13</v>
      </c>
      <c r="O54" s="288" t="s">
        <v>59</v>
      </c>
      <c r="P54" s="288">
        <v>9.6560982020128314</v>
      </c>
      <c r="Q54" s="288">
        <v>2.8129133566428557</v>
      </c>
      <c r="R54" s="288" t="s">
        <v>29</v>
      </c>
      <c r="S54" s="288">
        <v>5</v>
      </c>
      <c r="T54" s="288" t="s">
        <v>66</v>
      </c>
      <c r="U54" s="288"/>
      <c r="V54" t="s">
        <v>25</v>
      </c>
      <c r="W54" t="s">
        <v>31</v>
      </c>
    </row>
    <row r="55" spans="1:24" x14ac:dyDescent="0.25">
      <c r="A55" t="s">
        <v>119</v>
      </c>
      <c r="B55" t="s">
        <v>112</v>
      </c>
      <c r="C55" s="285">
        <v>2</v>
      </c>
      <c r="D55">
        <v>122073.429719899</v>
      </c>
      <c r="E55">
        <v>23839025.961482499</v>
      </c>
      <c r="F55">
        <v>11813588.294395</v>
      </c>
      <c r="G55">
        <v>11935661.7241149</v>
      </c>
      <c r="H55">
        <v>5.1207389898034203E-3</v>
      </c>
      <c r="I55">
        <v>0.51207389898034195</v>
      </c>
      <c r="J55">
        <v>1.02276214374659E-2</v>
      </c>
      <c r="K55" s="286">
        <v>1.0227621437465899</v>
      </c>
      <c r="L55" s="288" t="s">
        <v>28</v>
      </c>
      <c r="M55" s="288">
        <v>5000</v>
      </c>
      <c r="N55" s="288">
        <v>8</v>
      </c>
      <c r="O55" s="288" t="s">
        <v>59</v>
      </c>
      <c r="P55" s="288">
        <v>7.3091459572926789</v>
      </c>
      <c r="Q55" s="288">
        <v>2.6989700043360187</v>
      </c>
      <c r="R55" s="288" t="s">
        <v>60</v>
      </c>
      <c r="S55" s="288">
        <v>5</v>
      </c>
      <c r="T55" s="288" t="s">
        <v>66</v>
      </c>
      <c r="U55" s="288"/>
      <c r="V55" t="s">
        <v>25</v>
      </c>
      <c r="W55" t="s">
        <v>31</v>
      </c>
      <c r="X55" s="302"/>
    </row>
    <row r="56" spans="1:24" x14ac:dyDescent="0.25">
      <c r="A56" t="s">
        <v>120</v>
      </c>
      <c r="B56" t="s">
        <v>112</v>
      </c>
      <c r="C56" s="285">
        <v>4</v>
      </c>
      <c r="D56">
        <v>6274459.3148180898</v>
      </c>
      <c r="E56">
        <v>23399835.658180699</v>
      </c>
      <c r="F56">
        <v>11850451.261458499</v>
      </c>
      <c r="G56">
        <v>18124910.5762766</v>
      </c>
      <c r="H56">
        <v>0.26814117015494898</v>
      </c>
      <c r="I56">
        <v>26.814117015494901</v>
      </c>
      <c r="J56">
        <v>0.346178773595198</v>
      </c>
      <c r="K56" s="286">
        <v>34.617877359519802</v>
      </c>
      <c r="L56" s="288" t="s">
        <v>28</v>
      </c>
      <c r="M56" s="288">
        <v>5000</v>
      </c>
      <c r="N56" s="288">
        <v>36</v>
      </c>
      <c r="O56" s="288" t="s">
        <v>59</v>
      </c>
      <c r="P56" s="288">
        <v>12.547774705387823</v>
      </c>
      <c r="Q56" s="288">
        <v>2.6334684555795866</v>
      </c>
      <c r="R56" s="288" t="s">
        <v>29</v>
      </c>
      <c r="S56" s="288">
        <v>5</v>
      </c>
      <c r="T56" s="288" t="s">
        <v>66</v>
      </c>
      <c r="U56" s="288" t="s">
        <v>30</v>
      </c>
      <c r="V56" t="s">
        <v>25</v>
      </c>
      <c r="W56" t="s">
        <v>31</v>
      </c>
    </row>
    <row r="57" spans="1:24" x14ac:dyDescent="0.25">
      <c r="A57" t="s">
        <v>121</v>
      </c>
      <c r="B57" t="s">
        <v>112</v>
      </c>
      <c r="C57" s="285">
        <v>4</v>
      </c>
      <c r="D57">
        <v>2666739.4185683602</v>
      </c>
      <c r="E57">
        <v>24865823.694564302</v>
      </c>
      <c r="F57">
        <v>12934435.490223899</v>
      </c>
      <c r="G57">
        <v>15601174.9087923</v>
      </c>
      <c r="H57">
        <v>0.107245167154921</v>
      </c>
      <c r="I57">
        <v>10.724516715492101</v>
      </c>
      <c r="J57">
        <v>0.170931960840043</v>
      </c>
      <c r="K57" s="286">
        <v>17.093196084004301</v>
      </c>
      <c r="L57" s="288" t="s">
        <v>28</v>
      </c>
      <c r="M57" s="288">
        <v>5000</v>
      </c>
      <c r="N57" s="288">
        <v>29</v>
      </c>
      <c r="O57" s="288" t="s">
        <v>59</v>
      </c>
      <c r="P57" s="288">
        <v>12.013847995871831</v>
      </c>
      <c r="Q57" s="288">
        <v>2.7481880270062002</v>
      </c>
      <c r="R57" s="288" t="s">
        <v>29</v>
      </c>
      <c r="S57" s="288">
        <v>5</v>
      </c>
      <c r="T57" s="288" t="s">
        <v>66</v>
      </c>
      <c r="U57" s="288" t="s">
        <v>30</v>
      </c>
      <c r="V57" t="s">
        <v>25</v>
      </c>
      <c r="W57" t="s">
        <v>31</v>
      </c>
    </row>
    <row r="58" spans="1:24" x14ac:dyDescent="0.25">
      <c r="A58" t="s">
        <v>122</v>
      </c>
      <c r="B58" t="s">
        <v>112</v>
      </c>
      <c r="C58" s="285">
        <v>3</v>
      </c>
      <c r="D58">
        <v>1163261.04415679</v>
      </c>
      <c r="E58">
        <v>26536826.844574101</v>
      </c>
      <c r="F58">
        <v>14047285.586643299</v>
      </c>
      <c r="G58">
        <v>15210546.6308001</v>
      </c>
      <c r="H58">
        <v>4.3835725008494898E-2</v>
      </c>
      <c r="I58">
        <v>4.3835725008494899</v>
      </c>
      <c r="J58">
        <v>7.64772675428564E-2</v>
      </c>
      <c r="K58" s="286">
        <v>7.6477267542856397</v>
      </c>
      <c r="L58" s="288" t="s">
        <v>28</v>
      </c>
      <c r="M58" s="288">
        <v>5000</v>
      </c>
      <c r="N58" s="288">
        <v>23</v>
      </c>
      <c r="O58" s="288" t="s">
        <v>59</v>
      </c>
      <c r="P58" s="288">
        <v>11.045322978786658</v>
      </c>
      <c r="Q58" s="288">
        <v>2.7708520116421442</v>
      </c>
      <c r="R58" s="288" t="s">
        <v>29</v>
      </c>
      <c r="S58" s="288">
        <v>5</v>
      </c>
      <c r="T58" s="288" t="s">
        <v>66</v>
      </c>
      <c r="U58" s="288" t="s">
        <v>30</v>
      </c>
      <c r="V58" t="s">
        <v>25</v>
      </c>
      <c r="W58" t="s">
        <v>31</v>
      </c>
    </row>
    <row r="59" spans="1:24" x14ac:dyDescent="0.25">
      <c r="A59" t="s">
        <v>123</v>
      </c>
      <c r="B59" t="s">
        <v>112</v>
      </c>
      <c r="C59" s="285">
        <v>3</v>
      </c>
      <c r="D59">
        <v>3246858.8739276198</v>
      </c>
      <c r="E59">
        <v>24663592.162205201</v>
      </c>
      <c r="F59">
        <v>18695340.934388202</v>
      </c>
      <c r="G59">
        <v>21942199.808315799</v>
      </c>
      <c r="H59">
        <v>0.13164582241605199</v>
      </c>
      <c r="I59">
        <v>13.164582241605199</v>
      </c>
      <c r="J59">
        <v>0.14797326167347599</v>
      </c>
      <c r="K59" s="286">
        <v>14.797326167347601</v>
      </c>
      <c r="L59" s="288" t="s">
        <v>28</v>
      </c>
      <c r="M59" s="288">
        <v>5000</v>
      </c>
      <c r="N59" s="288">
        <v>33</v>
      </c>
      <c r="O59" s="288" t="s">
        <v>59</v>
      </c>
      <c r="P59" s="288">
        <v>11.746205140721575</v>
      </c>
      <c r="Q59" s="288">
        <v>4.2787536009528289</v>
      </c>
      <c r="R59" s="288" t="s">
        <v>29</v>
      </c>
      <c r="S59" s="288">
        <v>5</v>
      </c>
      <c r="T59" s="288" t="s">
        <v>66</v>
      </c>
      <c r="U59" s="288" t="s">
        <v>30</v>
      </c>
      <c r="V59" t="s">
        <v>61</v>
      </c>
      <c r="W59" t="s">
        <v>31</v>
      </c>
    </row>
    <row r="60" spans="1:24" x14ac:dyDescent="0.25">
      <c r="A60" t="s">
        <v>124</v>
      </c>
      <c r="B60" t="s">
        <v>112</v>
      </c>
      <c r="C60" s="285">
        <v>3</v>
      </c>
      <c r="D60">
        <v>967036.21331199096</v>
      </c>
      <c r="E60">
        <v>17331300.983422499</v>
      </c>
      <c r="F60">
        <v>9209912.9028042406</v>
      </c>
      <c r="G60">
        <v>10176949.1161162</v>
      </c>
      <c r="H60">
        <v>5.5797093030521203E-2</v>
      </c>
      <c r="I60">
        <v>5.5797093030521197</v>
      </c>
      <c r="J60">
        <v>9.5022211694130498E-2</v>
      </c>
      <c r="K60" s="286">
        <v>9.5022211694130494</v>
      </c>
      <c r="L60" s="288" t="s">
        <v>28</v>
      </c>
      <c r="M60" s="288">
        <v>5000</v>
      </c>
      <c r="N60" s="288">
        <v>11</v>
      </c>
      <c r="O60" s="288" t="s">
        <v>59</v>
      </c>
      <c r="P60" s="288">
        <v>12.082785370316451</v>
      </c>
      <c r="Q60" s="288">
        <v>3.0413926851582249</v>
      </c>
      <c r="R60" s="288" t="s">
        <v>29</v>
      </c>
      <c r="S60" s="288">
        <v>5</v>
      </c>
      <c r="T60" s="288" t="s">
        <v>66</v>
      </c>
      <c r="U60" s="288" t="s">
        <v>30</v>
      </c>
      <c r="V60" t="s">
        <v>25</v>
      </c>
      <c r="W60" t="s">
        <v>31</v>
      </c>
    </row>
    <row r="61" spans="1:24" x14ac:dyDescent="0.25">
      <c r="A61" t="s">
        <v>125</v>
      </c>
      <c r="B61" t="s">
        <v>112</v>
      </c>
      <c r="C61" s="285">
        <v>3</v>
      </c>
      <c r="D61">
        <v>2063557.5384190099</v>
      </c>
      <c r="E61">
        <v>17560383.3654336</v>
      </c>
      <c r="F61">
        <v>13525212.5822955</v>
      </c>
      <c r="G61">
        <v>15588770.120714501</v>
      </c>
      <c r="H61">
        <v>0.117512100702822</v>
      </c>
      <c r="I61">
        <v>11.7512100702822</v>
      </c>
      <c r="J61">
        <v>0.13237462111760401</v>
      </c>
      <c r="K61" s="286">
        <v>13.237462111760401</v>
      </c>
      <c r="L61" s="288" t="s">
        <v>28</v>
      </c>
      <c r="M61" s="288">
        <v>5000</v>
      </c>
      <c r="N61" s="288">
        <v>27</v>
      </c>
      <c r="O61" s="288" t="s">
        <v>59</v>
      </c>
      <c r="P61" s="288">
        <v>12.340444114840118</v>
      </c>
      <c r="Q61" s="288">
        <v>3.0413926851582249</v>
      </c>
      <c r="R61" s="288" t="s">
        <v>29</v>
      </c>
      <c r="S61" s="288">
        <v>5</v>
      </c>
      <c r="T61" s="288" t="s">
        <v>66</v>
      </c>
      <c r="U61" s="288" t="s">
        <v>30</v>
      </c>
      <c r="V61" t="s">
        <v>61</v>
      </c>
      <c r="W61" t="s">
        <v>31</v>
      </c>
    </row>
    <row r="62" spans="1:24" x14ac:dyDescent="0.25">
      <c r="A62" t="s">
        <v>126</v>
      </c>
      <c r="B62" t="s">
        <v>112</v>
      </c>
      <c r="C62" s="285">
        <v>3</v>
      </c>
      <c r="D62">
        <v>986642.51693156699</v>
      </c>
      <c r="E62">
        <v>21290496.285099801</v>
      </c>
      <c r="F62">
        <v>9683663.7082050405</v>
      </c>
      <c r="G62">
        <v>10670306.2251366</v>
      </c>
      <c r="H62">
        <v>4.6341921941108997E-2</v>
      </c>
      <c r="I62">
        <v>4.6341921941109003</v>
      </c>
      <c r="J62">
        <v>9.2466185703956802E-2</v>
      </c>
      <c r="K62" s="286">
        <v>9.2466185703956807</v>
      </c>
      <c r="L62" s="288" t="s">
        <v>28</v>
      </c>
      <c r="M62" s="288">
        <v>5000</v>
      </c>
      <c r="N62" s="288">
        <v>22</v>
      </c>
      <c r="O62" s="288" t="s">
        <v>59</v>
      </c>
      <c r="P62" s="288">
        <v>9.6711728427150838</v>
      </c>
      <c r="Q62" s="288">
        <v>3.3979400086720375</v>
      </c>
      <c r="R62" s="288" t="s">
        <v>29</v>
      </c>
      <c r="S62" s="288">
        <v>5</v>
      </c>
      <c r="T62" s="288" t="s">
        <v>66</v>
      </c>
      <c r="U62" s="288" t="s">
        <v>30</v>
      </c>
      <c r="V62" t="s">
        <v>25</v>
      </c>
      <c r="W62" t="s">
        <v>31</v>
      </c>
    </row>
    <row r="63" spans="1:24" x14ac:dyDescent="0.25">
      <c r="A63" t="s">
        <v>127</v>
      </c>
      <c r="B63" t="s">
        <v>112</v>
      </c>
      <c r="C63" s="285">
        <v>0</v>
      </c>
      <c r="D63">
        <v>0</v>
      </c>
      <c r="E63">
        <v>18144897.808761701</v>
      </c>
      <c r="F63">
        <v>8045152.65904985</v>
      </c>
      <c r="G63">
        <v>8060458.4482351104</v>
      </c>
      <c r="H63" s="1">
        <v>0</v>
      </c>
      <c r="I63">
        <v>0</v>
      </c>
      <c r="J63" s="1">
        <v>0</v>
      </c>
      <c r="K63" s="286">
        <v>0</v>
      </c>
      <c r="L63" s="288" t="s">
        <v>28</v>
      </c>
      <c r="M63" s="288">
        <v>5000</v>
      </c>
      <c r="N63" s="288">
        <v>0</v>
      </c>
      <c r="O63" s="288" t="s">
        <v>59</v>
      </c>
      <c r="P63" s="288">
        <v>9.6702458530741247</v>
      </c>
      <c r="Q63" s="288">
        <v>3.3222192947339191</v>
      </c>
      <c r="R63" s="288" t="s">
        <v>29</v>
      </c>
      <c r="S63" s="288">
        <v>5</v>
      </c>
      <c r="T63" s="288" t="s">
        <v>66</v>
      </c>
      <c r="U63" s="288" t="s">
        <v>30</v>
      </c>
      <c r="V63" t="s">
        <v>25</v>
      </c>
      <c r="W63" t="s">
        <v>26</v>
      </c>
    </row>
    <row r="64" spans="1:24" x14ac:dyDescent="0.25">
      <c r="A64" t="s">
        <v>132</v>
      </c>
      <c r="B64" t="s">
        <v>133</v>
      </c>
      <c r="C64" s="285">
        <v>1</v>
      </c>
      <c r="D64">
        <v>33453.784692589303</v>
      </c>
      <c r="E64">
        <v>36633555.1890788</v>
      </c>
      <c r="F64">
        <v>17211119.646692201</v>
      </c>
      <c r="G64">
        <v>17244573.431384798</v>
      </c>
      <c r="H64">
        <v>9.1320060310615201E-4</v>
      </c>
      <c r="I64">
        <v>9.1320060310615195E-2</v>
      </c>
      <c r="J64">
        <v>1.93996011705942E-3</v>
      </c>
      <c r="K64" s="286">
        <v>0.193996011705942</v>
      </c>
      <c r="L64" s="288" t="s">
        <v>28</v>
      </c>
      <c r="M64" s="288">
        <v>5000</v>
      </c>
      <c r="N64" s="288">
        <v>1</v>
      </c>
      <c r="O64" s="288">
        <v>7.0093145518255904</v>
      </c>
      <c r="P64" s="288">
        <v>9.180921734518769</v>
      </c>
      <c r="Q64" s="288">
        <v>2.0606978403536118</v>
      </c>
      <c r="R64" s="288" t="s">
        <v>29</v>
      </c>
      <c r="S64" s="288">
        <v>5</v>
      </c>
      <c r="T64" s="288" t="s">
        <v>66</v>
      </c>
      <c r="U64" s="291" t="s">
        <v>30</v>
      </c>
      <c r="V64" t="s">
        <v>61</v>
      </c>
      <c r="W64" t="s">
        <v>31</v>
      </c>
    </row>
    <row r="65" spans="1:23" x14ac:dyDescent="0.25">
      <c r="A65" t="s">
        <v>134</v>
      </c>
      <c r="B65" t="s">
        <v>133</v>
      </c>
      <c r="C65" s="285">
        <v>4</v>
      </c>
      <c r="D65">
        <v>7637975.94253405</v>
      </c>
      <c r="E65">
        <v>18747863.807530999</v>
      </c>
      <c r="F65">
        <v>6417338.7040470401</v>
      </c>
      <c r="G65">
        <v>14055314.6465811</v>
      </c>
      <c r="H65">
        <v>0.40740513270988499</v>
      </c>
      <c r="I65">
        <v>40.740513270988501</v>
      </c>
      <c r="J65">
        <v>0.54342262230265703</v>
      </c>
      <c r="K65" s="286">
        <v>54.342262230265703</v>
      </c>
      <c r="L65" s="288" t="s">
        <v>28</v>
      </c>
      <c r="M65" s="288">
        <v>5000</v>
      </c>
      <c r="N65" s="288">
        <v>9</v>
      </c>
      <c r="O65" s="288">
        <v>7.4667816422879092</v>
      </c>
      <c r="P65" s="288">
        <v>9.6752732219355817</v>
      </c>
      <c r="Q65" s="288">
        <v>3.3424226808222062</v>
      </c>
      <c r="R65" s="288" t="s">
        <v>29</v>
      </c>
      <c r="S65" s="288">
        <v>5</v>
      </c>
      <c r="T65" s="288" t="s">
        <v>66</v>
      </c>
      <c r="U65" s="291" t="s">
        <v>30</v>
      </c>
      <c r="V65" t="s">
        <v>61</v>
      </c>
      <c r="W65" t="s">
        <v>31</v>
      </c>
    </row>
    <row r="66" spans="1:23" x14ac:dyDescent="0.25">
      <c r="A66" t="s">
        <v>135</v>
      </c>
      <c r="B66" t="s">
        <v>133</v>
      </c>
      <c r="C66" s="285">
        <v>4</v>
      </c>
      <c r="D66">
        <v>14319973.132786701</v>
      </c>
      <c r="E66">
        <v>32810406.935338002</v>
      </c>
      <c r="F66">
        <v>8311368.3488939498</v>
      </c>
      <c r="G66">
        <v>22631341.481680699</v>
      </c>
      <c r="H66">
        <v>0.436446069108749</v>
      </c>
      <c r="I66">
        <v>43.644606910874899</v>
      </c>
      <c r="J66">
        <v>0.63274963812367302</v>
      </c>
      <c r="K66" s="286">
        <v>63.274963812367297</v>
      </c>
      <c r="L66" s="288" t="s">
        <v>136</v>
      </c>
      <c r="M66" s="288">
        <v>5000</v>
      </c>
      <c r="N66" s="288">
        <v>25</v>
      </c>
      <c r="O66" s="288">
        <v>8.2349626877416373</v>
      </c>
      <c r="P66" s="288">
        <v>10.278753600952829</v>
      </c>
      <c r="Q66" s="288">
        <v>4.3891660843645326</v>
      </c>
      <c r="R66" s="288" t="s">
        <v>29</v>
      </c>
      <c r="S66" s="288">
        <v>5</v>
      </c>
      <c r="T66" s="288" t="s">
        <v>66</v>
      </c>
      <c r="U66" s="291" t="s">
        <v>30</v>
      </c>
      <c r="V66" t="s">
        <v>61</v>
      </c>
      <c r="W66" t="s">
        <v>31</v>
      </c>
    </row>
    <row r="67" spans="1:23" x14ac:dyDescent="0.25">
      <c r="A67" t="s">
        <v>137</v>
      </c>
      <c r="B67" t="s">
        <v>133</v>
      </c>
      <c r="C67" s="285">
        <v>0</v>
      </c>
      <c r="D67">
        <v>0</v>
      </c>
      <c r="E67">
        <v>36423474.136657797</v>
      </c>
      <c r="F67">
        <v>16792238.8890034</v>
      </c>
      <c r="G67">
        <v>16855646.252043702</v>
      </c>
      <c r="H67" s="1">
        <v>0</v>
      </c>
      <c r="I67">
        <v>0</v>
      </c>
      <c r="J67" s="1">
        <v>0</v>
      </c>
      <c r="K67" s="286">
        <v>0</v>
      </c>
      <c r="L67" s="288" t="s">
        <v>136</v>
      </c>
      <c r="M67" s="288">
        <v>5000</v>
      </c>
      <c r="N67" s="288">
        <v>4</v>
      </c>
      <c r="O67" s="288">
        <v>7.8596644178815946</v>
      </c>
      <c r="P67" s="288">
        <v>9.7084209001347119</v>
      </c>
      <c r="Q67" s="288">
        <v>3.3891660843645326</v>
      </c>
      <c r="R67" s="288" t="s">
        <v>29</v>
      </c>
      <c r="S67" s="288">
        <v>5</v>
      </c>
      <c r="T67" s="288" t="s">
        <v>66</v>
      </c>
      <c r="U67" s="291" t="s">
        <v>30</v>
      </c>
      <c r="V67" t="s">
        <v>61</v>
      </c>
      <c r="W67" t="s">
        <v>26</v>
      </c>
    </row>
    <row r="68" spans="1:23" x14ac:dyDescent="0.25">
      <c r="A68" t="s">
        <v>138</v>
      </c>
      <c r="B68" t="s">
        <v>133</v>
      </c>
      <c r="C68" s="285">
        <v>3</v>
      </c>
      <c r="D68">
        <v>7991301.94122699</v>
      </c>
      <c r="E68">
        <v>29300279.4989512</v>
      </c>
      <c r="F68">
        <v>10761414.9312682</v>
      </c>
      <c r="G68">
        <v>18752716.8724952</v>
      </c>
      <c r="H68">
        <v>0.27273807888122797</v>
      </c>
      <c r="I68">
        <v>27.2738078881228</v>
      </c>
      <c r="J68">
        <v>0.426141022421551</v>
      </c>
      <c r="K68" s="286">
        <v>42.614102242155099</v>
      </c>
      <c r="L68" s="288" t="s">
        <v>139</v>
      </c>
      <c r="M68" s="288">
        <v>5000</v>
      </c>
      <c r="N68" s="288">
        <v>16</v>
      </c>
      <c r="O68" s="288">
        <v>6.9635171586730271</v>
      </c>
      <c r="P68" s="288">
        <v>10.258538015698633</v>
      </c>
      <c r="Q68" s="288">
        <v>3.4983105537896004</v>
      </c>
      <c r="R68" s="288" t="s">
        <v>29</v>
      </c>
      <c r="S68" s="288">
        <v>5</v>
      </c>
      <c r="T68" s="288" t="s">
        <v>66</v>
      </c>
      <c r="U68" s="291" t="s">
        <v>30</v>
      </c>
      <c r="V68" t="s">
        <v>61</v>
      </c>
      <c r="W68" t="s">
        <v>31</v>
      </c>
    </row>
    <row r="69" spans="1:23" x14ac:dyDescent="0.25">
      <c r="A69" t="s">
        <v>140</v>
      </c>
      <c r="B69" t="s">
        <v>133</v>
      </c>
      <c r="C69" s="285">
        <v>3</v>
      </c>
      <c r="D69">
        <v>11712408.5031287</v>
      </c>
      <c r="E69">
        <v>41133696.538701698</v>
      </c>
      <c r="F69">
        <v>14331809.3887068</v>
      </c>
      <c r="G69">
        <v>26044217.8918356</v>
      </c>
      <c r="H69">
        <v>0.28473999393924598</v>
      </c>
      <c r="I69">
        <v>28.473999393924601</v>
      </c>
      <c r="J69">
        <v>0.44971242952165302</v>
      </c>
      <c r="K69" s="286">
        <v>44.971242952165298</v>
      </c>
      <c r="L69" s="288" t="s">
        <v>141</v>
      </c>
      <c r="M69" s="288">
        <v>5000</v>
      </c>
      <c r="N69" s="288">
        <v>16</v>
      </c>
      <c r="O69" s="288">
        <v>9.1981342446307259</v>
      </c>
      <c r="P69" s="288">
        <v>9.470049762110202</v>
      </c>
      <c r="Q69" s="288">
        <v>3.3521825181113627</v>
      </c>
      <c r="R69" s="288" t="s">
        <v>29</v>
      </c>
      <c r="S69" s="288">
        <v>5</v>
      </c>
      <c r="T69" s="288" t="s">
        <v>66</v>
      </c>
      <c r="U69" s="291" t="s">
        <v>30</v>
      </c>
      <c r="V69" t="s">
        <v>61</v>
      </c>
      <c r="W69" t="s">
        <v>31</v>
      </c>
    </row>
    <row r="70" spans="1:23" x14ac:dyDescent="0.25">
      <c r="A70" t="s">
        <v>142</v>
      </c>
      <c r="B70" t="s">
        <v>133</v>
      </c>
      <c r="C70" s="285">
        <v>0</v>
      </c>
      <c r="D70">
        <v>0</v>
      </c>
      <c r="E70">
        <v>25068823.181348201</v>
      </c>
      <c r="F70">
        <v>11695572.077609699</v>
      </c>
      <c r="G70">
        <v>11737472.746289499</v>
      </c>
      <c r="H70" s="1">
        <v>0</v>
      </c>
      <c r="I70">
        <v>0</v>
      </c>
      <c r="J70" s="1">
        <v>0</v>
      </c>
      <c r="K70" s="286">
        <v>0</v>
      </c>
      <c r="L70" s="288" t="s">
        <v>141</v>
      </c>
      <c r="M70" s="288">
        <v>5000</v>
      </c>
      <c r="N70" s="288">
        <v>2</v>
      </c>
      <c r="O70" s="288">
        <v>5.7531519206658022</v>
      </c>
      <c r="P70" s="288">
        <v>6.0591575586505479</v>
      </c>
      <c r="Q70" s="288">
        <v>0</v>
      </c>
      <c r="R70" s="288" t="s">
        <v>29</v>
      </c>
      <c r="S70" s="288">
        <v>5</v>
      </c>
      <c r="T70" s="288" t="s">
        <v>66</v>
      </c>
      <c r="U70" s="291" t="s">
        <v>30</v>
      </c>
      <c r="V70" t="s">
        <v>61</v>
      </c>
      <c r="W70" t="s">
        <v>26</v>
      </c>
    </row>
    <row r="71" spans="1:23" x14ac:dyDescent="0.25">
      <c r="A71" t="s">
        <v>143</v>
      </c>
      <c r="B71" t="s">
        <v>133</v>
      </c>
      <c r="C71" s="285">
        <v>3</v>
      </c>
      <c r="D71">
        <v>7635725.0026212502</v>
      </c>
      <c r="E71">
        <v>31137151.059065402</v>
      </c>
      <c r="F71">
        <v>11063804.2829218</v>
      </c>
      <c r="G71">
        <v>18699529.285543099</v>
      </c>
      <c r="H71">
        <v>0.24522876187794801</v>
      </c>
      <c r="I71">
        <v>24.5228761877948</v>
      </c>
      <c r="J71">
        <v>0.40833781888427101</v>
      </c>
      <c r="K71" s="286">
        <v>40.833781888427097</v>
      </c>
      <c r="L71" s="288" t="s">
        <v>144</v>
      </c>
      <c r="M71" s="288">
        <v>5000</v>
      </c>
      <c r="N71" s="288">
        <v>26</v>
      </c>
      <c r="O71" s="288">
        <v>7.6905414283745825</v>
      </c>
      <c r="P71" s="288">
        <v>8.6170211112298833</v>
      </c>
      <c r="Q71" s="288">
        <v>2.2174839442139063</v>
      </c>
      <c r="R71" s="288" t="s">
        <v>29</v>
      </c>
      <c r="S71" s="288">
        <v>5</v>
      </c>
      <c r="T71" s="288" t="s">
        <v>66</v>
      </c>
      <c r="U71" s="291" t="s">
        <v>30</v>
      </c>
      <c r="V71" t="s">
        <v>61</v>
      </c>
      <c r="W71" t="s">
        <v>31</v>
      </c>
    </row>
    <row r="72" spans="1:23" x14ac:dyDescent="0.25">
      <c r="A72" t="s">
        <v>145</v>
      </c>
      <c r="B72" t="s">
        <v>133</v>
      </c>
      <c r="C72" s="285">
        <v>2</v>
      </c>
      <c r="D72">
        <v>1677061.2461848001</v>
      </c>
      <c r="E72">
        <v>28762612.255329601</v>
      </c>
      <c r="F72">
        <v>15114713.5816768</v>
      </c>
      <c r="G72">
        <v>16791774.8278616</v>
      </c>
      <c r="H72">
        <v>5.83069865594023E-2</v>
      </c>
      <c r="I72">
        <v>5.8306986559402301</v>
      </c>
      <c r="J72">
        <v>9.98739718330523E-2</v>
      </c>
      <c r="K72" s="286">
        <v>9.9873971833052302</v>
      </c>
      <c r="L72" s="288" t="s">
        <v>144</v>
      </c>
      <c r="M72" s="288">
        <v>5000</v>
      </c>
      <c r="N72" s="288">
        <v>24</v>
      </c>
      <c r="O72" s="288">
        <v>7.2727148907396089</v>
      </c>
      <c r="P72" s="288">
        <v>8.589974385547805</v>
      </c>
      <c r="Q72" s="288">
        <v>2.1303337684950061</v>
      </c>
      <c r="R72" s="288" t="s">
        <v>29</v>
      </c>
      <c r="S72" s="288">
        <v>5</v>
      </c>
      <c r="T72" s="288" t="s">
        <v>66</v>
      </c>
      <c r="U72" s="291" t="s">
        <v>30</v>
      </c>
      <c r="V72" t="s">
        <v>61</v>
      </c>
      <c r="W72" t="s">
        <v>31</v>
      </c>
    </row>
    <row r="73" spans="1:23" x14ac:dyDescent="0.25">
      <c r="A73" t="s">
        <v>146</v>
      </c>
      <c r="B73" t="s">
        <v>147</v>
      </c>
      <c r="C73" s="285">
        <v>1</v>
      </c>
      <c r="D73">
        <v>49041.716686372602</v>
      </c>
      <c r="E73">
        <v>22234741.2940013</v>
      </c>
      <c r="F73">
        <v>12537025.553531401</v>
      </c>
      <c r="G73">
        <v>12586067.270217801</v>
      </c>
      <c r="H73">
        <v>2.2056346884325299E-3</v>
      </c>
      <c r="I73">
        <v>0.22056346884325301</v>
      </c>
      <c r="J73">
        <v>3.8965083876850901E-3</v>
      </c>
      <c r="K73" s="286">
        <v>0.38965083876850898</v>
      </c>
      <c r="L73" s="288" t="s">
        <v>28</v>
      </c>
      <c r="M73" s="288">
        <v>5000</v>
      </c>
      <c r="N73" s="288">
        <v>16</v>
      </c>
      <c r="O73" s="288" t="s">
        <v>59</v>
      </c>
      <c r="P73" s="288" t="s">
        <v>59</v>
      </c>
      <c r="Q73" s="288">
        <v>0</v>
      </c>
      <c r="R73" s="288" t="s">
        <v>60</v>
      </c>
      <c r="S73" s="288">
        <v>7</v>
      </c>
      <c r="T73" s="288" t="s">
        <v>66</v>
      </c>
      <c r="U73" s="291" t="s">
        <v>30</v>
      </c>
      <c r="V73" t="s">
        <v>61</v>
      </c>
      <c r="W73" t="s">
        <v>31</v>
      </c>
    </row>
    <row r="74" spans="1:23" x14ac:dyDescent="0.25">
      <c r="A74" t="s">
        <v>148</v>
      </c>
      <c r="B74" t="s">
        <v>147</v>
      </c>
      <c r="C74" s="285">
        <v>0</v>
      </c>
      <c r="D74">
        <v>0</v>
      </c>
      <c r="E74">
        <v>24669721.2837268</v>
      </c>
      <c r="F74">
        <v>11973237.2175049</v>
      </c>
      <c r="G74">
        <v>11974047.9171206</v>
      </c>
      <c r="H74" s="1">
        <v>0</v>
      </c>
      <c r="I74">
        <v>0</v>
      </c>
      <c r="J74" s="1">
        <v>0</v>
      </c>
      <c r="K74" s="286">
        <v>0</v>
      </c>
      <c r="L74" s="288" t="s">
        <v>28</v>
      </c>
      <c r="M74" s="288">
        <v>5000</v>
      </c>
      <c r="N74" s="288">
        <v>0</v>
      </c>
      <c r="O74" s="288">
        <v>2.3010299956639813</v>
      </c>
      <c r="P74" s="288">
        <v>6.495108871939955</v>
      </c>
      <c r="Q74" s="288">
        <v>0</v>
      </c>
      <c r="R74" s="288" t="s">
        <v>60</v>
      </c>
      <c r="S74" s="288">
        <v>14</v>
      </c>
      <c r="T74" s="288" t="s">
        <v>66</v>
      </c>
      <c r="U74" s="291" t="s">
        <v>30</v>
      </c>
      <c r="V74" t="s">
        <v>25</v>
      </c>
      <c r="W74" t="s">
        <v>26</v>
      </c>
    </row>
    <row r="75" spans="1:23" x14ac:dyDescent="0.25">
      <c r="A75" t="s">
        <v>149</v>
      </c>
      <c r="B75" t="s">
        <v>147</v>
      </c>
      <c r="C75" s="285">
        <v>0</v>
      </c>
      <c r="D75">
        <v>0</v>
      </c>
      <c r="E75">
        <v>24531331.425537098</v>
      </c>
      <c r="F75">
        <v>11437776.2576649</v>
      </c>
      <c r="G75">
        <v>11439211.9552224</v>
      </c>
      <c r="H75" s="1">
        <v>0</v>
      </c>
      <c r="I75">
        <v>0</v>
      </c>
      <c r="J75" s="1">
        <v>0</v>
      </c>
      <c r="K75" s="286">
        <v>0</v>
      </c>
      <c r="L75" s="288" t="s">
        <v>28</v>
      </c>
      <c r="M75" s="288">
        <v>5000</v>
      </c>
      <c r="N75" s="288">
        <v>5</v>
      </c>
      <c r="O75" s="288">
        <v>2.3010299956639813</v>
      </c>
      <c r="P75" s="288">
        <v>7.9834734393564419</v>
      </c>
      <c r="Q75" s="288">
        <v>0</v>
      </c>
      <c r="R75" s="288" t="s">
        <v>60</v>
      </c>
      <c r="S75" s="288">
        <v>5</v>
      </c>
      <c r="T75" s="288" t="s">
        <v>66</v>
      </c>
      <c r="U75" s="291" t="s">
        <v>30</v>
      </c>
      <c r="V75" t="s">
        <v>25</v>
      </c>
      <c r="W75" t="s">
        <v>26</v>
      </c>
    </row>
    <row r="76" spans="1:23" x14ac:dyDescent="0.25">
      <c r="A76" t="s">
        <v>150</v>
      </c>
      <c r="B76" t="s">
        <v>147</v>
      </c>
      <c r="C76" s="285">
        <v>2</v>
      </c>
      <c r="D76">
        <v>763747.89052650705</v>
      </c>
      <c r="E76">
        <v>25141190.7468662</v>
      </c>
      <c r="F76">
        <v>11761603.7666004</v>
      </c>
      <c r="G76">
        <v>12525351.6571269</v>
      </c>
      <c r="H76">
        <v>3.0378349944371899E-2</v>
      </c>
      <c r="I76">
        <v>3.0378349944371901</v>
      </c>
      <c r="J76">
        <v>6.09761634989252E-2</v>
      </c>
      <c r="K76" s="286">
        <v>6.0976163498925198</v>
      </c>
      <c r="L76" s="288" t="s">
        <v>28</v>
      </c>
      <c r="M76" s="288">
        <v>5000</v>
      </c>
      <c r="N76" s="288">
        <v>7</v>
      </c>
      <c r="O76" s="288" t="s">
        <v>59</v>
      </c>
      <c r="P76" s="288" t="s">
        <v>59</v>
      </c>
      <c r="Q76" s="288">
        <v>0</v>
      </c>
      <c r="R76" s="288" t="s">
        <v>60</v>
      </c>
      <c r="S76" s="288">
        <v>7</v>
      </c>
      <c r="T76" s="288" t="s">
        <v>66</v>
      </c>
      <c r="U76" s="291" t="s">
        <v>30</v>
      </c>
      <c r="V76" t="s">
        <v>25</v>
      </c>
      <c r="W76" t="s">
        <v>31</v>
      </c>
    </row>
    <row r="77" spans="1:23" x14ac:dyDescent="0.25">
      <c r="A77" t="s">
        <v>151</v>
      </c>
      <c r="B77" t="s">
        <v>147</v>
      </c>
      <c r="C77" s="285">
        <v>1</v>
      </c>
      <c r="D77">
        <v>640.86084321910903</v>
      </c>
      <c r="E77">
        <v>18617366.842898801</v>
      </c>
      <c r="F77">
        <v>9376108.8560759891</v>
      </c>
      <c r="G77">
        <v>9376749.7169192098</v>
      </c>
      <c r="H77" s="1">
        <v>3.4422743486066702E-5</v>
      </c>
      <c r="I77">
        <v>3.4422743486066699E-3</v>
      </c>
      <c r="J77" s="1">
        <v>6.83457341367184E-5</v>
      </c>
      <c r="K77" s="286">
        <v>6.8345734136718303E-3</v>
      </c>
      <c r="L77" s="288" t="s">
        <v>28</v>
      </c>
      <c r="M77" s="288">
        <v>5000</v>
      </c>
      <c r="N77" s="288">
        <v>17</v>
      </c>
      <c r="O77" s="288">
        <v>7.578907842807487</v>
      </c>
      <c r="P77" s="288">
        <v>7.9650422280862347</v>
      </c>
      <c r="Q77" s="288">
        <v>0</v>
      </c>
      <c r="R77" s="288" t="s">
        <v>60</v>
      </c>
      <c r="S77" s="288">
        <v>5</v>
      </c>
      <c r="T77" s="288" t="s">
        <v>66</v>
      </c>
      <c r="U77" s="291" t="s">
        <v>30</v>
      </c>
      <c r="V77" t="s">
        <v>25</v>
      </c>
      <c r="W77" t="s">
        <v>31</v>
      </c>
    </row>
    <row r="78" spans="1:23" x14ac:dyDescent="0.25">
      <c r="A78" t="s">
        <v>152</v>
      </c>
      <c r="B78" t="s">
        <v>147</v>
      </c>
      <c r="C78" s="285">
        <v>3</v>
      </c>
      <c r="D78">
        <v>917848.07639920001</v>
      </c>
      <c r="E78">
        <v>25311595.345005199</v>
      </c>
      <c r="F78">
        <v>14733929.680683</v>
      </c>
      <c r="G78">
        <v>15651777.7570822</v>
      </c>
      <c r="H78">
        <v>3.6261960729406101E-2</v>
      </c>
      <c r="I78">
        <v>3.6261960729406102</v>
      </c>
      <c r="J78">
        <v>5.8641777991249901E-2</v>
      </c>
      <c r="K78" s="286">
        <v>5.8641777991249899</v>
      </c>
      <c r="L78" s="288" t="s">
        <v>28</v>
      </c>
      <c r="M78" s="288">
        <v>5000</v>
      </c>
      <c r="N78" s="288">
        <v>17</v>
      </c>
      <c r="O78" s="288" t="s">
        <v>59</v>
      </c>
      <c r="P78" s="288" t="s">
        <v>59</v>
      </c>
      <c r="Q78" s="288">
        <v>0</v>
      </c>
      <c r="R78" s="288" t="s">
        <v>60</v>
      </c>
      <c r="S78" s="288">
        <v>5</v>
      </c>
      <c r="T78" s="288" t="s">
        <v>66</v>
      </c>
      <c r="U78" s="291" t="s">
        <v>30</v>
      </c>
      <c r="V78" t="s">
        <v>25</v>
      </c>
      <c r="W78" t="s">
        <v>31</v>
      </c>
    </row>
    <row r="79" spans="1:23" x14ac:dyDescent="0.25">
      <c r="A79" t="s">
        <v>153</v>
      </c>
      <c r="B79" t="s">
        <v>147</v>
      </c>
      <c r="C79" s="285">
        <v>0</v>
      </c>
      <c r="D79">
        <v>0</v>
      </c>
      <c r="E79">
        <v>34934135.195839897</v>
      </c>
      <c r="F79">
        <v>15719341.4463355</v>
      </c>
      <c r="G79">
        <v>15720235.690478999</v>
      </c>
      <c r="H79" s="1">
        <v>0</v>
      </c>
      <c r="I79">
        <v>0</v>
      </c>
      <c r="J79" s="1">
        <v>0</v>
      </c>
      <c r="K79" s="286">
        <v>0</v>
      </c>
      <c r="L79" s="288" t="s">
        <v>28</v>
      </c>
      <c r="M79" s="288">
        <v>5000</v>
      </c>
      <c r="N79" s="288">
        <v>11</v>
      </c>
      <c r="O79" s="288">
        <v>6.7974003087072896</v>
      </c>
      <c r="P79" s="288">
        <v>7.9650422280862347</v>
      </c>
      <c r="Q79" s="288">
        <v>0</v>
      </c>
      <c r="R79" s="288" t="s">
        <v>60</v>
      </c>
      <c r="S79" s="288">
        <v>5</v>
      </c>
      <c r="T79" s="288" t="s">
        <v>66</v>
      </c>
      <c r="U79" s="291" t="s">
        <v>30</v>
      </c>
      <c r="V79" t="s">
        <v>61</v>
      </c>
      <c r="W79" t="s">
        <v>26</v>
      </c>
    </row>
    <row r="80" spans="1:23" x14ac:dyDescent="0.25">
      <c r="A80" t="s">
        <v>154</v>
      </c>
      <c r="B80" t="s">
        <v>147</v>
      </c>
      <c r="C80" s="285">
        <v>2</v>
      </c>
      <c r="D80">
        <v>347265.76522058703</v>
      </c>
      <c r="E80">
        <v>19817248.583027702</v>
      </c>
      <c r="F80">
        <v>9910253.1989545301</v>
      </c>
      <c r="G80">
        <v>10257518.9641751</v>
      </c>
      <c r="H80">
        <v>1.75234096582912E-2</v>
      </c>
      <c r="I80">
        <v>1.75234096582912</v>
      </c>
      <c r="J80">
        <v>3.38547524438833E-2</v>
      </c>
      <c r="K80" s="286">
        <v>3.38547524438833</v>
      </c>
      <c r="L80" s="288" t="s">
        <v>28</v>
      </c>
      <c r="M80" s="288">
        <v>5000</v>
      </c>
      <c r="N80" s="288">
        <v>13</v>
      </c>
      <c r="O80" s="288" t="s">
        <v>59</v>
      </c>
      <c r="P80" s="288" t="s">
        <v>59</v>
      </c>
      <c r="Q80" s="288">
        <v>0</v>
      </c>
      <c r="R80" s="288" t="s">
        <v>60</v>
      </c>
      <c r="S80" s="288">
        <v>5</v>
      </c>
      <c r="T80" s="288" t="s">
        <v>66</v>
      </c>
      <c r="U80" s="291" t="s">
        <v>30</v>
      </c>
      <c r="V80" t="s">
        <v>25</v>
      </c>
      <c r="W80" t="s">
        <v>31</v>
      </c>
    </row>
    <row r="81" spans="1:23" x14ac:dyDescent="0.25">
      <c r="A81" t="s">
        <v>155</v>
      </c>
      <c r="B81" t="s">
        <v>147</v>
      </c>
      <c r="C81" s="285">
        <v>1</v>
      </c>
      <c r="D81">
        <v>1711.92334356989</v>
      </c>
      <c r="E81">
        <v>28056585.197638601</v>
      </c>
      <c r="F81">
        <v>11763717.718189299</v>
      </c>
      <c r="G81">
        <v>11765429.6415329</v>
      </c>
      <c r="H81" s="1">
        <v>6.1016810545924101E-5</v>
      </c>
      <c r="I81">
        <v>6.1016810545924099E-3</v>
      </c>
      <c r="J81">
        <v>1.4550453283292499E-4</v>
      </c>
      <c r="K81" s="286">
        <v>1.45504532832925E-2</v>
      </c>
      <c r="L81" s="288" t="s">
        <v>28</v>
      </c>
      <c r="M81" s="288">
        <v>5000</v>
      </c>
      <c r="N81" s="288">
        <v>5</v>
      </c>
      <c r="O81" s="288">
        <v>2.3010299956639813</v>
      </c>
      <c r="P81" s="288">
        <v>6.0763597827681082</v>
      </c>
      <c r="Q81" s="288">
        <v>0</v>
      </c>
      <c r="R81" s="288" t="s">
        <v>60</v>
      </c>
      <c r="S81" s="288">
        <v>14</v>
      </c>
      <c r="T81" s="288" t="s">
        <v>66</v>
      </c>
      <c r="U81" s="291" t="s">
        <v>30</v>
      </c>
      <c r="V81" t="s">
        <v>61</v>
      </c>
      <c r="W81" t="s">
        <v>31</v>
      </c>
    </row>
    <row r="82" spans="1:23" x14ac:dyDescent="0.25">
      <c r="A82" t="s">
        <v>156</v>
      </c>
      <c r="B82" t="s">
        <v>147</v>
      </c>
      <c r="C82" s="285">
        <v>2</v>
      </c>
      <c r="D82">
        <v>72787.839063798398</v>
      </c>
      <c r="E82">
        <v>33906636.427656099</v>
      </c>
      <c r="F82">
        <v>17075796.884356201</v>
      </c>
      <c r="G82">
        <v>17148584.723420002</v>
      </c>
      <c r="H82">
        <v>2.1467136446606801E-3</v>
      </c>
      <c r="I82">
        <v>0.21467136446606799</v>
      </c>
      <c r="J82">
        <v>4.2445391405619096E-3</v>
      </c>
      <c r="K82" s="286">
        <v>0.42445391405619098</v>
      </c>
      <c r="L82" s="288" t="s">
        <v>28</v>
      </c>
      <c r="M82" s="288">
        <v>5000</v>
      </c>
      <c r="N82" s="288">
        <v>16</v>
      </c>
      <c r="O82" s="288">
        <v>8.5503610709080622</v>
      </c>
      <c r="P82" s="288">
        <v>11.006143609716615</v>
      </c>
      <c r="Q82" s="288" t="s">
        <v>59</v>
      </c>
      <c r="R82" s="288" t="s">
        <v>60</v>
      </c>
      <c r="S82" s="288">
        <v>7</v>
      </c>
      <c r="T82" s="288" t="s">
        <v>66</v>
      </c>
      <c r="U82" s="291" t="s">
        <v>30</v>
      </c>
      <c r="V82" t="s">
        <v>25</v>
      </c>
      <c r="W82" t="s">
        <v>31</v>
      </c>
    </row>
    <row r="83" spans="1:23" x14ac:dyDescent="0.25">
      <c r="A83" t="s">
        <v>157</v>
      </c>
      <c r="B83" t="s">
        <v>147</v>
      </c>
      <c r="C83" s="285">
        <v>1</v>
      </c>
      <c r="D83">
        <v>2421.5235401548598</v>
      </c>
      <c r="E83">
        <v>31019393.792381302</v>
      </c>
      <c r="F83">
        <v>14421198.059045799</v>
      </c>
      <c r="G83">
        <v>14423619.582585899</v>
      </c>
      <c r="H83" s="1">
        <v>7.80648247468207E-5</v>
      </c>
      <c r="I83">
        <v>7.8064824746820697E-3</v>
      </c>
      <c r="J83">
        <v>1.6788598217596E-4</v>
      </c>
      <c r="K83" s="286">
        <v>1.6788598217595999E-2</v>
      </c>
      <c r="L83" s="288" t="s">
        <v>28</v>
      </c>
      <c r="M83" s="288">
        <v>5000</v>
      </c>
      <c r="N83" s="288">
        <v>3</v>
      </c>
      <c r="O83" s="288">
        <v>2.3010299956639813</v>
      </c>
      <c r="P83" s="288">
        <v>6.2826364213456074</v>
      </c>
      <c r="Q83" s="288">
        <v>0</v>
      </c>
      <c r="R83" s="288" t="s">
        <v>60</v>
      </c>
      <c r="S83" s="288">
        <v>5</v>
      </c>
      <c r="T83" s="288" t="s">
        <v>66</v>
      </c>
      <c r="U83" s="291" t="s">
        <v>30</v>
      </c>
      <c r="V83" t="s">
        <v>25</v>
      </c>
      <c r="W83" t="s">
        <v>31</v>
      </c>
    </row>
    <row r="84" spans="1:23" x14ac:dyDescent="0.25">
      <c r="A84" t="s">
        <v>158</v>
      </c>
      <c r="B84" t="s">
        <v>147</v>
      </c>
      <c r="C84" s="285">
        <v>3</v>
      </c>
      <c r="D84">
        <v>799429.278734316</v>
      </c>
      <c r="E84">
        <v>19645817.8946977</v>
      </c>
      <c r="F84">
        <v>12338846.2504564</v>
      </c>
      <c r="G84">
        <v>13138275.529190799</v>
      </c>
      <c r="H84">
        <v>4.0692084341781197E-2</v>
      </c>
      <c r="I84">
        <v>4.0692084341781198</v>
      </c>
      <c r="J84">
        <v>6.0847352223519197E-2</v>
      </c>
      <c r="K84" s="286">
        <v>6.0847352223519202</v>
      </c>
      <c r="L84" s="288" t="s">
        <v>28</v>
      </c>
      <c r="M84" s="288">
        <v>5000</v>
      </c>
      <c r="N84" s="288">
        <v>6</v>
      </c>
      <c r="O84" s="288">
        <v>8.0265818103788522</v>
      </c>
      <c r="P84" s="288">
        <v>10.308934885532011</v>
      </c>
      <c r="Q84" s="288" t="s">
        <v>59</v>
      </c>
      <c r="R84" s="288" t="s">
        <v>60</v>
      </c>
      <c r="S84" s="288">
        <v>7</v>
      </c>
      <c r="T84" s="288" t="s">
        <v>66</v>
      </c>
      <c r="U84" s="291" t="s">
        <v>30</v>
      </c>
      <c r="V84" t="s">
        <v>25</v>
      </c>
      <c r="W84" t="s">
        <v>31</v>
      </c>
    </row>
    <row r="85" spans="1:23" x14ac:dyDescent="0.25">
      <c r="A85" t="s">
        <v>159</v>
      </c>
      <c r="B85" t="s">
        <v>147</v>
      </c>
      <c r="C85" s="285">
        <v>0</v>
      </c>
      <c r="D85">
        <v>0</v>
      </c>
      <c r="E85">
        <v>29673211.166145299</v>
      </c>
      <c r="F85">
        <v>17113568.7322703</v>
      </c>
      <c r="G85">
        <v>17123191.797671899</v>
      </c>
      <c r="H85" s="1">
        <v>0</v>
      </c>
      <c r="I85">
        <v>0</v>
      </c>
      <c r="J85" s="1">
        <v>0</v>
      </c>
      <c r="K85" s="286">
        <v>0</v>
      </c>
      <c r="L85" s="288" t="s">
        <v>28</v>
      </c>
      <c r="M85" s="288">
        <v>5000</v>
      </c>
      <c r="N85" s="288">
        <v>10</v>
      </c>
      <c r="O85" s="288">
        <v>2.3010299956639813</v>
      </c>
      <c r="P85" s="288">
        <v>7.4944310830927883</v>
      </c>
      <c r="Q85" s="288">
        <v>0</v>
      </c>
      <c r="R85" s="288" t="s">
        <v>60</v>
      </c>
      <c r="S85" s="288">
        <v>5</v>
      </c>
      <c r="T85" s="288" t="s">
        <v>66</v>
      </c>
      <c r="U85" s="291" t="s">
        <v>30</v>
      </c>
      <c r="V85" t="s">
        <v>61</v>
      </c>
      <c r="W85" t="s">
        <v>26</v>
      </c>
    </row>
    <row r="86" spans="1:23" x14ac:dyDescent="0.25">
      <c r="A86" t="s">
        <v>160</v>
      </c>
      <c r="B86" t="s">
        <v>147</v>
      </c>
      <c r="C86" s="285">
        <v>3</v>
      </c>
      <c r="D86">
        <v>808826.32009014406</v>
      </c>
      <c r="E86">
        <v>30163596.566891901</v>
      </c>
      <c r="F86">
        <v>16815022.045175899</v>
      </c>
      <c r="G86">
        <v>17623848.365265999</v>
      </c>
      <c r="H86">
        <v>2.68146511738565E-2</v>
      </c>
      <c r="I86">
        <v>2.6814651173856499</v>
      </c>
      <c r="J86">
        <v>4.5893853789857601E-2</v>
      </c>
      <c r="K86" s="286">
        <v>4.5893853789857602</v>
      </c>
      <c r="L86" s="288" t="s">
        <v>28</v>
      </c>
      <c r="M86" s="288">
        <v>5000</v>
      </c>
      <c r="N86" s="288">
        <v>15</v>
      </c>
      <c r="O86" s="288">
        <v>8.4881646011090037</v>
      </c>
      <c r="P86" s="288">
        <v>11.087781127142744</v>
      </c>
      <c r="Q86" s="288" t="s">
        <v>59</v>
      </c>
      <c r="R86" s="288" t="s">
        <v>60</v>
      </c>
      <c r="S86" s="288">
        <v>7</v>
      </c>
      <c r="T86" s="288" t="s">
        <v>66</v>
      </c>
      <c r="U86" s="291" t="s">
        <v>30</v>
      </c>
      <c r="V86" t="s">
        <v>25</v>
      </c>
      <c r="W86" t="s">
        <v>31</v>
      </c>
    </row>
    <row r="87" spans="1:23" x14ac:dyDescent="0.25">
      <c r="A87" t="s">
        <v>161</v>
      </c>
      <c r="B87" t="s">
        <v>147</v>
      </c>
      <c r="C87" s="285">
        <v>1</v>
      </c>
      <c r="D87">
        <v>486.88503589766498</v>
      </c>
      <c r="E87">
        <v>17347741.9592291</v>
      </c>
      <c r="F87">
        <v>8664697.4690935407</v>
      </c>
      <c r="G87">
        <v>8665184.3541294392</v>
      </c>
      <c r="H87" s="1">
        <v>2.8066190806961799E-5</v>
      </c>
      <c r="I87">
        <v>2.80661908069618E-3</v>
      </c>
      <c r="J87" s="1">
        <v>5.6188652889495402E-5</v>
      </c>
      <c r="K87" s="286">
        <v>5.6188652889495403E-3</v>
      </c>
      <c r="L87" s="288" t="s">
        <v>28</v>
      </c>
      <c r="M87" s="288">
        <v>5000</v>
      </c>
      <c r="N87" s="288">
        <v>0</v>
      </c>
      <c r="O87" s="288" t="s">
        <v>59</v>
      </c>
      <c r="P87" s="288" t="s">
        <v>59</v>
      </c>
      <c r="Q87" s="288">
        <v>0</v>
      </c>
      <c r="R87" s="288" t="s">
        <v>60</v>
      </c>
      <c r="S87" s="288">
        <v>7</v>
      </c>
      <c r="T87" s="288" t="s">
        <v>66</v>
      </c>
      <c r="U87" s="291" t="s">
        <v>30</v>
      </c>
      <c r="V87" t="s">
        <v>25</v>
      </c>
      <c r="W87" t="s">
        <v>31</v>
      </c>
    </row>
    <row r="88" spans="1:23" x14ac:dyDescent="0.25">
      <c r="A88" t="s">
        <v>162</v>
      </c>
      <c r="B88" t="s">
        <v>147</v>
      </c>
      <c r="C88" s="285">
        <v>0</v>
      </c>
      <c r="D88">
        <v>0</v>
      </c>
      <c r="E88">
        <v>32568916.964993201</v>
      </c>
      <c r="F88">
        <v>15744736.531000201</v>
      </c>
      <c r="G88">
        <v>15746649.172973201</v>
      </c>
      <c r="H88" s="1">
        <v>0</v>
      </c>
      <c r="I88">
        <v>0</v>
      </c>
      <c r="J88" s="1">
        <v>0</v>
      </c>
      <c r="K88" s="286">
        <v>0</v>
      </c>
      <c r="L88" s="288" t="s">
        <v>28</v>
      </c>
      <c r="M88" s="288">
        <v>5000</v>
      </c>
      <c r="N88" s="288">
        <v>6</v>
      </c>
      <c r="O88" s="288">
        <v>2.3010299956639813</v>
      </c>
      <c r="P88" s="288">
        <v>6.5095070411615872</v>
      </c>
      <c r="Q88" s="288">
        <v>0</v>
      </c>
      <c r="R88" s="288" t="s">
        <v>60</v>
      </c>
      <c r="S88" s="288">
        <v>14</v>
      </c>
      <c r="T88" s="288" t="s">
        <v>66</v>
      </c>
      <c r="U88" s="291" t="s">
        <v>30</v>
      </c>
      <c r="V88" t="s">
        <v>25</v>
      </c>
      <c r="W88" t="s">
        <v>26</v>
      </c>
    </row>
    <row r="89" spans="1:23" x14ac:dyDescent="0.25">
      <c r="A89" t="s">
        <v>163</v>
      </c>
      <c r="B89" t="s">
        <v>147</v>
      </c>
      <c r="C89" s="285">
        <v>1</v>
      </c>
      <c r="D89">
        <v>6766.6865290819596</v>
      </c>
      <c r="E89">
        <v>24636023.6353052</v>
      </c>
      <c r="F89">
        <v>12587452.1255248</v>
      </c>
      <c r="G89">
        <v>12594218.8120539</v>
      </c>
      <c r="H89">
        <v>2.7466634345101E-4</v>
      </c>
      <c r="I89">
        <v>2.7466634345101E-2</v>
      </c>
      <c r="J89">
        <v>5.3728513296954702E-4</v>
      </c>
      <c r="K89" s="286">
        <v>5.3728513296954702E-2</v>
      </c>
      <c r="L89" s="288" t="s">
        <v>28</v>
      </c>
      <c r="M89" s="288">
        <v>5000</v>
      </c>
      <c r="N89" s="288">
        <v>5</v>
      </c>
      <c r="O89" s="288">
        <v>2.3010299956639813</v>
      </c>
      <c r="P89" s="288">
        <v>5.753686380105612</v>
      </c>
      <c r="Q89" s="288">
        <v>0</v>
      </c>
      <c r="R89" s="288" t="s">
        <v>60</v>
      </c>
      <c r="S89" s="288">
        <v>14</v>
      </c>
      <c r="T89" s="288" t="s">
        <v>66</v>
      </c>
      <c r="U89" s="291" t="s">
        <v>30</v>
      </c>
      <c r="V89" t="s">
        <v>61</v>
      </c>
      <c r="W89" t="s">
        <v>31</v>
      </c>
    </row>
    <row r="90" spans="1:23" x14ac:dyDescent="0.25">
      <c r="A90" t="s">
        <v>164</v>
      </c>
      <c r="B90" t="s">
        <v>147</v>
      </c>
      <c r="C90" s="285">
        <v>0</v>
      </c>
      <c r="D90">
        <v>0</v>
      </c>
      <c r="E90">
        <v>30875616.757520001</v>
      </c>
      <c r="F90">
        <v>16066110.7216218</v>
      </c>
      <c r="G90">
        <v>16066623.8333441</v>
      </c>
      <c r="H90" s="1">
        <v>0</v>
      </c>
      <c r="I90">
        <v>0</v>
      </c>
      <c r="J90" s="1">
        <v>0</v>
      </c>
      <c r="K90" s="286">
        <v>0</v>
      </c>
      <c r="L90" s="288" t="s">
        <v>28</v>
      </c>
      <c r="M90" s="288">
        <v>5000</v>
      </c>
      <c r="N90" s="288">
        <v>5</v>
      </c>
      <c r="O90" s="288">
        <v>2.3010299956639813</v>
      </c>
      <c r="P90" s="288">
        <v>6.4567028940328299</v>
      </c>
      <c r="Q90" s="288">
        <v>0</v>
      </c>
      <c r="R90" s="288" t="s">
        <v>60</v>
      </c>
      <c r="S90" s="288">
        <v>14</v>
      </c>
      <c r="T90" s="288" t="s">
        <v>66</v>
      </c>
      <c r="U90" s="291" t="s">
        <v>30</v>
      </c>
      <c r="V90" t="s">
        <v>25</v>
      </c>
      <c r="W90" t="s">
        <v>26</v>
      </c>
    </row>
    <row r="91" spans="1:23" x14ac:dyDescent="0.25">
      <c r="A91" t="s">
        <v>165</v>
      </c>
      <c r="B91" t="s">
        <v>147</v>
      </c>
      <c r="C91" s="285">
        <v>3</v>
      </c>
      <c r="D91">
        <v>391995.55994300399</v>
      </c>
      <c r="E91">
        <v>19232268.398644</v>
      </c>
      <c r="F91">
        <v>11708792.724853</v>
      </c>
      <c r="G91">
        <v>12100788.284796</v>
      </c>
      <c r="H91">
        <v>2.0382180188928699E-2</v>
      </c>
      <c r="I91">
        <v>2.03821801889287</v>
      </c>
      <c r="J91">
        <v>3.2394216865650402E-2</v>
      </c>
      <c r="K91" s="286">
        <v>3.23942168656504</v>
      </c>
      <c r="L91" s="288" t="s">
        <v>28</v>
      </c>
      <c r="M91" s="288">
        <v>5000</v>
      </c>
      <c r="N91" s="288">
        <v>15</v>
      </c>
      <c r="O91" s="288" t="s">
        <v>59</v>
      </c>
      <c r="P91" s="288" t="s">
        <v>59</v>
      </c>
      <c r="Q91" s="288">
        <v>0</v>
      </c>
      <c r="R91" s="288" t="s">
        <v>60</v>
      </c>
      <c r="S91" s="288">
        <v>7</v>
      </c>
      <c r="T91" s="288" t="s">
        <v>66</v>
      </c>
      <c r="U91" s="291" t="s">
        <v>30</v>
      </c>
      <c r="V91" t="s">
        <v>25</v>
      </c>
      <c r="W91" t="s">
        <v>31</v>
      </c>
    </row>
    <row r="92" spans="1:23" x14ac:dyDescent="0.25">
      <c r="A92" t="s">
        <v>166</v>
      </c>
      <c r="B92" t="s">
        <v>147</v>
      </c>
      <c r="C92" s="285">
        <v>2</v>
      </c>
      <c r="D92">
        <v>177935.76138460301</v>
      </c>
      <c r="E92">
        <v>25699696.514104299</v>
      </c>
      <c r="F92">
        <v>11603204.0222675</v>
      </c>
      <c r="G92">
        <v>11781139.783652101</v>
      </c>
      <c r="H92">
        <v>6.9236522418445598E-3</v>
      </c>
      <c r="I92">
        <v>0.69236522418445601</v>
      </c>
      <c r="J92">
        <v>1.5103441997311E-2</v>
      </c>
      <c r="K92" s="286">
        <v>1.5103441997311</v>
      </c>
      <c r="L92" s="288" t="s">
        <v>28</v>
      </c>
      <c r="M92" s="288">
        <v>5000</v>
      </c>
      <c r="N92" s="288">
        <v>25</v>
      </c>
      <c r="O92" s="288" t="s">
        <v>59</v>
      </c>
      <c r="P92" s="288" t="s">
        <v>59</v>
      </c>
      <c r="Q92" s="288">
        <v>0</v>
      </c>
      <c r="R92" s="288" t="s">
        <v>60</v>
      </c>
      <c r="S92" s="288">
        <v>7</v>
      </c>
      <c r="T92" s="288" t="s">
        <v>66</v>
      </c>
      <c r="U92" s="291" t="s">
        <v>30</v>
      </c>
      <c r="V92" t="s">
        <v>25</v>
      </c>
      <c r="W92" t="s">
        <v>31</v>
      </c>
    </row>
    <row r="93" spans="1:23" x14ac:dyDescent="0.25">
      <c r="A93" t="s">
        <v>167</v>
      </c>
      <c r="B93" t="s">
        <v>147</v>
      </c>
      <c r="C93" s="285">
        <v>1</v>
      </c>
      <c r="D93">
        <v>945.85140496715201</v>
      </c>
      <c r="E93">
        <v>20302309.545948099</v>
      </c>
      <c r="F93">
        <v>9741691.0043476094</v>
      </c>
      <c r="G93">
        <v>9742636.8557525706</v>
      </c>
      <c r="H93" s="1">
        <v>4.6588364876739901E-5</v>
      </c>
      <c r="I93">
        <v>4.6588364876739901E-3</v>
      </c>
      <c r="J93" s="1">
        <v>9.7083717577820899E-5</v>
      </c>
      <c r="K93" s="286">
        <v>9.7083717577820892E-3</v>
      </c>
      <c r="L93" s="288" t="s">
        <v>28</v>
      </c>
      <c r="M93" s="288">
        <v>5000</v>
      </c>
      <c r="N93" s="288">
        <v>17</v>
      </c>
      <c r="O93" s="288" t="s">
        <v>59</v>
      </c>
      <c r="P93" s="288" t="s">
        <v>59</v>
      </c>
      <c r="Q93" s="288">
        <v>0</v>
      </c>
      <c r="R93" s="288" t="s">
        <v>60</v>
      </c>
      <c r="S93" s="288">
        <v>7</v>
      </c>
      <c r="T93" s="288" t="s">
        <v>66</v>
      </c>
      <c r="U93" s="291" t="s">
        <v>30</v>
      </c>
      <c r="V93" t="s">
        <v>25</v>
      </c>
      <c r="W93" t="s">
        <v>31</v>
      </c>
    </row>
    <row r="94" spans="1:23" x14ac:dyDescent="0.25">
      <c r="A94" t="s">
        <v>168</v>
      </c>
      <c r="B94" t="s">
        <v>147</v>
      </c>
      <c r="C94" s="285">
        <v>0</v>
      </c>
      <c r="D94">
        <v>0</v>
      </c>
      <c r="E94">
        <v>20778215.7468022</v>
      </c>
      <c r="F94">
        <v>11606018.9476064</v>
      </c>
      <c r="G94">
        <v>11606268.312246</v>
      </c>
      <c r="H94" s="1">
        <v>0</v>
      </c>
      <c r="I94">
        <v>0</v>
      </c>
      <c r="J94" s="1">
        <v>0</v>
      </c>
      <c r="K94" s="286">
        <v>0</v>
      </c>
      <c r="L94" s="288" t="s">
        <v>28</v>
      </c>
      <c r="M94" s="288">
        <v>5000</v>
      </c>
      <c r="N94" s="288">
        <v>5</v>
      </c>
      <c r="O94" s="288">
        <v>2.3010299956639813</v>
      </c>
      <c r="P94" s="288">
        <v>7.7345581072480964</v>
      </c>
      <c r="Q94" s="288">
        <v>0</v>
      </c>
      <c r="R94" s="288" t="s">
        <v>60</v>
      </c>
      <c r="S94" s="288">
        <v>5</v>
      </c>
      <c r="T94" s="288" t="s">
        <v>66</v>
      </c>
      <c r="U94" s="291" t="s">
        <v>30</v>
      </c>
      <c r="V94" t="s">
        <v>25</v>
      </c>
      <c r="W94" t="s">
        <v>26</v>
      </c>
    </row>
    <row r="95" spans="1:23" x14ac:dyDescent="0.25">
      <c r="A95" t="s">
        <v>169</v>
      </c>
      <c r="B95" t="s">
        <v>147</v>
      </c>
      <c r="C95" s="285">
        <v>0</v>
      </c>
      <c r="D95">
        <v>0</v>
      </c>
      <c r="E95">
        <v>32689929.125565</v>
      </c>
      <c r="F95">
        <v>15602795.980843799</v>
      </c>
      <c r="G95">
        <v>15603156.597265</v>
      </c>
      <c r="H95" s="1">
        <v>0</v>
      </c>
      <c r="I95">
        <v>0</v>
      </c>
      <c r="J95" s="1">
        <v>0</v>
      </c>
      <c r="K95" s="286">
        <v>0</v>
      </c>
      <c r="L95" s="288" t="s">
        <v>28</v>
      </c>
      <c r="M95" s="288">
        <v>5000</v>
      </c>
      <c r="N95" s="288">
        <v>1</v>
      </c>
      <c r="O95" s="288">
        <v>7.0093350553890117</v>
      </c>
      <c r="P95" s="288">
        <v>8.7931939070771925</v>
      </c>
      <c r="Q95" s="288">
        <v>0</v>
      </c>
      <c r="R95" s="288" t="s">
        <v>60</v>
      </c>
      <c r="S95" s="288">
        <v>5</v>
      </c>
      <c r="T95" s="288" t="s">
        <v>66</v>
      </c>
      <c r="U95" s="291" t="s">
        <v>30</v>
      </c>
      <c r="V95" t="s">
        <v>25</v>
      </c>
      <c r="W95" t="s">
        <v>26</v>
      </c>
    </row>
    <row r="96" spans="1:23" x14ac:dyDescent="0.25">
      <c r="A96" t="s">
        <v>170</v>
      </c>
      <c r="B96" t="s">
        <v>147</v>
      </c>
      <c r="C96" s="285">
        <v>4</v>
      </c>
      <c r="D96">
        <v>10470119.963497801</v>
      </c>
      <c r="E96">
        <v>24899587.099439301</v>
      </c>
      <c r="F96">
        <v>7700249.8433766402</v>
      </c>
      <c r="G96">
        <v>18170369.806874499</v>
      </c>
      <c r="H96">
        <v>0.420493718296783</v>
      </c>
      <c r="I96">
        <v>42.0493718296783</v>
      </c>
      <c r="J96">
        <v>0.57621942067115395</v>
      </c>
      <c r="K96" s="286">
        <v>57.621942067115398</v>
      </c>
      <c r="L96" s="288" t="s">
        <v>28</v>
      </c>
      <c r="M96" s="288">
        <v>5000</v>
      </c>
      <c r="N96" s="288">
        <v>25</v>
      </c>
      <c r="O96" s="288">
        <v>9.2749618758128047</v>
      </c>
      <c r="P96" s="288">
        <v>11.646502697467559</v>
      </c>
      <c r="Q96" s="288">
        <v>4.1461280356782382</v>
      </c>
      <c r="R96" s="288" t="s">
        <v>29</v>
      </c>
      <c r="S96" s="288">
        <v>7</v>
      </c>
      <c r="T96" s="288" t="s">
        <v>66</v>
      </c>
      <c r="U96" s="291" t="s">
        <v>30</v>
      </c>
      <c r="V96" t="s">
        <v>61</v>
      </c>
      <c r="W96" t="s">
        <v>31</v>
      </c>
    </row>
    <row r="97" spans="1:23" x14ac:dyDescent="0.25">
      <c r="A97" t="s">
        <v>171</v>
      </c>
      <c r="B97" t="s">
        <v>147</v>
      </c>
      <c r="C97" s="285">
        <v>4</v>
      </c>
      <c r="D97">
        <v>2746086.0236235699</v>
      </c>
      <c r="E97">
        <v>27919355.182875499</v>
      </c>
      <c r="F97">
        <v>18020699.260860801</v>
      </c>
      <c r="G97">
        <v>20766785.284484401</v>
      </c>
      <c r="H97">
        <v>9.8357788195190601E-2</v>
      </c>
      <c r="I97">
        <v>9.8357788195190601</v>
      </c>
      <c r="J97">
        <v>0.132234526721632</v>
      </c>
      <c r="K97" s="286">
        <v>13.2234526721632</v>
      </c>
      <c r="L97" s="288" t="s">
        <v>28</v>
      </c>
      <c r="M97" s="288">
        <v>5000</v>
      </c>
      <c r="N97" s="288">
        <v>41</v>
      </c>
      <c r="O97" s="288">
        <v>8.5503610709080622</v>
      </c>
      <c r="P97" s="288">
        <v>11.006143609716615</v>
      </c>
      <c r="Q97" s="288">
        <v>3.1139433523068369</v>
      </c>
      <c r="R97" s="288" t="s">
        <v>29</v>
      </c>
      <c r="S97" s="288">
        <v>7</v>
      </c>
      <c r="T97" s="288" t="s">
        <v>66</v>
      </c>
      <c r="U97" s="291" t="s">
        <v>30</v>
      </c>
      <c r="V97" t="s">
        <v>25</v>
      </c>
      <c r="W97" t="s">
        <v>31</v>
      </c>
    </row>
    <row r="98" spans="1:23" x14ac:dyDescent="0.25">
      <c r="A98" t="s">
        <v>172</v>
      </c>
      <c r="B98" t="s">
        <v>147</v>
      </c>
      <c r="C98" s="285">
        <v>4</v>
      </c>
      <c r="D98">
        <v>6774154.2499104496</v>
      </c>
      <c r="E98">
        <v>19434984.1075055</v>
      </c>
      <c r="F98">
        <v>6708396.4317667698</v>
      </c>
      <c r="G98">
        <v>13482550.6816772</v>
      </c>
      <c r="H98">
        <v>0.34855465857028101</v>
      </c>
      <c r="I98">
        <v>34.855465857028101</v>
      </c>
      <c r="J98">
        <v>0.502438626773829</v>
      </c>
      <c r="K98" s="286">
        <v>50.2438626773829</v>
      </c>
      <c r="L98" s="288" t="s">
        <v>28</v>
      </c>
      <c r="M98" s="288">
        <v>5000</v>
      </c>
      <c r="N98" s="288">
        <v>29</v>
      </c>
      <c r="O98" s="288">
        <v>8.5503610709080622</v>
      </c>
      <c r="P98" s="288">
        <v>11.810874426539545</v>
      </c>
      <c r="Q98" s="288">
        <v>2.3521825181113627</v>
      </c>
      <c r="R98" s="288" t="s">
        <v>29</v>
      </c>
      <c r="S98" s="288">
        <v>7</v>
      </c>
      <c r="T98" s="288" t="s">
        <v>66</v>
      </c>
      <c r="U98" s="291" t="s">
        <v>30</v>
      </c>
      <c r="V98" t="s">
        <v>61</v>
      </c>
      <c r="W98" t="s">
        <v>31</v>
      </c>
    </row>
    <row r="99" spans="1:23" x14ac:dyDescent="0.25">
      <c r="A99" t="s">
        <v>173</v>
      </c>
      <c r="B99" t="s">
        <v>147</v>
      </c>
      <c r="C99" s="285">
        <v>0</v>
      </c>
      <c r="D99">
        <v>0</v>
      </c>
      <c r="E99">
        <v>20057628.174176</v>
      </c>
      <c r="F99">
        <v>8910722.0708966795</v>
      </c>
      <c r="G99">
        <v>8911732.8543626405</v>
      </c>
      <c r="H99" s="1">
        <v>0</v>
      </c>
      <c r="I99">
        <v>0</v>
      </c>
      <c r="J99" s="1">
        <v>0</v>
      </c>
      <c r="K99" s="286">
        <v>0</v>
      </c>
      <c r="L99" s="288" t="s">
        <v>28</v>
      </c>
      <c r="M99" s="288">
        <v>5000</v>
      </c>
      <c r="N99" s="288">
        <v>8</v>
      </c>
      <c r="O99" s="288">
        <v>8.0265818103788522</v>
      </c>
      <c r="P99" s="288">
        <v>10.308934885532011</v>
      </c>
      <c r="Q99" s="288">
        <v>2.3521825181113627</v>
      </c>
      <c r="R99" s="288" t="s">
        <v>29</v>
      </c>
      <c r="S99" s="288">
        <v>7</v>
      </c>
      <c r="T99" s="288" t="s">
        <v>66</v>
      </c>
      <c r="U99" s="291" t="s">
        <v>30</v>
      </c>
      <c r="V99" t="s">
        <v>25</v>
      </c>
      <c r="W99" t="s">
        <v>26</v>
      </c>
    </row>
    <row r="100" spans="1:23" x14ac:dyDescent="0.25">
      <c r="A100" t="s">
        <v>174</v>
      </c>
      <c r="B100" t="s">
        <v>147</v>
      </c>
      <c r="C100" s="285">
        <v>4</v>
      </c>
      <c r="D100">
        <v>4687534.4654721403</v>
      </c>
      <c r="E100">
        <v>28080343.780982699</v>
      </c>
      <c r="F100">
        <v>14192181.6612281</v>
      </c>
      <c r="G100">
        <v>18879716.1267002</v>
      </c>
      <c r="H100">
        <v>0.166932944341185</v>
      </c>
      <c r="I100">
        <v>16.693294434118499</v>
      </c>
      <c r="J100">
        <v>0.24828416031334699</v>
      </c>
      <c r="K100" s="286">
        <v>24.828416031334701</v>
      </c>
      <c r="L100" s="288" t="s">
        <v>28</v>
      </c>
      <c r="M100" s="288">
        <v>5000</v>
      </c>
      <c r="N100" s="288">
        <v>11</v>
      </c>
      <c r="O100" s="288">
        <v>8.4881646011090037</v>
      </c>
      <c r="P100" s="288">
        <v>11.087781127142744</v>
      </c>
      <c r="Q100" s="288">
        <v>2.3222192947339191</v>
      </c>
      <c r="R100" s="288" t="s">
        <v>29</v>
      </c>
      <c r="S100" s="288">
        <v>7</v>
      </c>
      <c r="T100" s="288" t="s">
        <v>66</v>
      </c>
      <c r="U100" s="291" t="s">
        <v>30</v>
      </c>
      <c r="V100" t="s">
        <v>25</v>
      </c>
      <c r="W100" t="s">
        <v>31</v>
      </c>
    </row>
    <row r="101" spans="1:23" x14ac:dyDescent="0.25">
      <c r="A101" t="s">
        <v>175</v>
      </c>
      <c r="B101" t="s">
        <v>176</v>
      </c>
      <c r="C101" s="285">
        <v>3</v>
      </c>
      <c r="D101">
        <v>2626918.8034620001</v>
      </c>
      <c r="E101">
        <v>31479217.8331731</v>
      </c>
      <c r="F101">
        <v>12615962.4763464</v>
      </c>
      <c r="G101">
        <v>15242881.2798084</v>
      </c>
      <c r="H101">
        <v>8.3449303517755299E-2</v>
      </c>
      <c r="I101">
        <v>8.3449303517755293</v>
      </c>
      <c r="J101">
        <v>0.172337418053748</v>
      </c>
      <c r="K101" s="286">
        <v>17.233741805374802</v>
      </c>
      <c r="L101" s="288" t="s">
        <v>28</v>
      </c>
      <c r="M101" s="288">
        <v>5000</v>
      </c>
      <c r="N101" s="288">
        <v>12</v>
      </c>
      <c r="O101" s="288">
        <v>6.2102290000000009</v>
      </c>
      <c r="P101" s="288">
        <v>11.954870222007395</v>
      </c>
      <c r="Q101" s="288">
        <v>4.7403626894942441</v>
      </c>
      <c r="R101" s="288" t="s">
        <v>29</v>
      </c>
      <c r="S101" s="288">
        <v>2</v>
      </c>
      <c r="T101" s="288" t="s">
        <v>66</v>
      </c>
      <c r="U101" s="291" t="s">
        <v>30</v>
      </c>
      <c r="V101" t="s">
        <v>61</v>
      </c>
      <c r="W101" t="s">
        <v>31</v>
      </c>
    </row>
    <row r="102" spans="1:23" x14ac:dyDescent="0.25">
      <c r="A102" t="s">
        <v>177</v>
      </c>
      <c r="B102" t="s">
        <v>176</v>
      </c>
      <c r="C102" s="285">
        <v>4</v>
      </c>
      <c r="D102">
        <v>9128853.1428220998</v>
      </c>
      <c r="E102">
        <v>30446724.041483101</v>
      </c>
      <c r="F102">
        <v>10366789.078614701</v>
      </c>
      <c r="G102">
        <v>19495642.221436799</v>
      </c>
      <c r="H102">
        <v>0.29983038997509798</v>
      </c>
      <c r="I102">
        <v>29.983038997509802</v>
      </c>
      <c r="J102">
        <v>0.46825095778503101</v>
      </c>
      <c r="K102" s="286">
        <v>46.825095778503098</v>
      </c>
      <c r="L102" s="288" t="s">
        <v>28</v>
      </c>
      <c r="M102" s="288">
        <v>5000</v>
      </c>
      <c r="N102" s="288">
        <v>12</v>
      </c>
      <c r="O102" s="288">
        <v>4.5878040000000011</v>
      </c>
      <c r="P102" s="288">
        <v>11.336942365707197</v>
      </c>
      <c r="Q102" s="288">
        <v>2.6627578316815739</v>
      </c>
      <c r="R102" s="288" t="s">
        <v>29</v>
      </c>
      <c r="S102" s="288">
        <v>5</v>
      </c>
      <c r="T102" s="288" t="s">
        <v>66</v>
      </c>
      <c r="U102" s="291" t="s">
        <v>30</v>
      </c>
      <c r="V102" t="s">
        <v>61</v>
      </c>
      <c r="W102" t="s">
        <v>31</v>
      </c>
    </row>
    <row r="103" spans="1:23" x14ac:dyDescent="0.25">
      <c r="A103" t="s">
        <v>178</v>
      </c>
      <c r="B103" t="s">
        <v>176</v>
      </c>
      <c r="C103" s="285">
        <v>2</v>
      </c>
      <c r="D103">
        <v>983371.51619570295</v>
      </c>
      <c r="E103">
        <v>19829708.760222498</v>
      </c>
      <c r="F103">
        <v>10873401.0000656</v>
      </c>
      <c r="G103">
        <v>11856772.5162613</v>
      </c>
      <c r="H103">
        <v>4.9590819920073699E-2</v>
      </c>
      <c r="I103">
        <v>4.9590819920073699</v>
      </c>
      <c r="J103">
        <v>8.2937537584281504E-2</v>
      </c>
      <c r="K103" s="286">
        <v>8.2937537584281493</v>
      </c>
      <c r="L103" s="288" t="s">
        <v>28</v>
      </c>
      <c r="M103" s="288">
        <v>5000</v>
      </c>
      <c r="N103" s="288">
        <v>0</v>
      </c>
      <c r="O103" s="288">
        <v>5.8778090000000009</v>
      </c>
      <c r="P103" s="288">
        <v>10.905604539187749</v>
      </c>
      <c r="Q103" s="288">
        <v>5.5622928644564746</v>
      </c>
      <c r="R103" s="288" t="s">
        <v>60</v>
      </c>
      <c r="S103" s="288">
        <v>2</v>
      </c>
      <c r="T103" s="288" t="s">
        <v>66</v>
      </c>
      <c r="V103" t="s">
        <v>61</v>
      </c>
      <c r="W103" t="s">
        <v>31</v>
      </c>
    </row>
    <row r="104" spans="1:23" x14ac:dyDescent="0.25">
      <c r="A104" t="s">
        <v>179</v>
      </c>
      <c r="B104" t="s">
        <v>176</v>
      </c>
      <c r="C104" s="285">
        <v>0</v>
      </c>
      <c r="D104">
        <v>0</v>
      </c>
      <c r="E104">
        <v>30965967.0450323</v>
      </c>
      <c r="F104">
        <v>13130498.127425401</v>
      </c>
      <c r="G104">
        <v>13130772.661259601</v>
      </c>
      <c r="H104" s="1">
        <v>0</v>
      </c>
      <c r="I104">
        <v>0</v>
      </c>
      <c r="J104" s="1">
        <v>0</v>
      </c>
      <c r="K104" s="286">
        <v>0</v>
      </c>
      <c r="L104" s="288" t="s">
        <v>28</v>
      </c>
      <c r="M104" s="288">
        <v>5000</v>
      </c>
      <c r="N104" s="288">
        <v>15</v>
      </c>
      <c r="O104" s="288">
        <v>0</v>
      </c>
      <c r="P104" s="288">
        <v>7.3140214828410564</v>
      </c>
      <c r="Q104" s="288">
        <v>0</v>
      </c>
      <c r="R104" s="288" t="s">
        <v>60</v>
      </c>
      <c r="S104" s="288">
        <v>13</v>
      </c>
      <c r="T104" s="288" t="s">
        <v>66</v>
      </c>
      <c r="V104" t="s">
        <v>61</v>
      </c>
      <c r="W104" t="s">
        <v>26</v>
      </c>
    </row>
    <row r="105" spans="1:23" x14ac:dyDescent="0.25">
      <c r="A105" t="s">
        <v>180</v>
      </c>
      <c r="B105" t="s">
        <v>176</v>
      </c>
      <c r="C105" s="285">
        <v>2</v>
      </c>
      <c r="D105">
        <v>269529.152451551</v>
      </c>
      <c r="E105">
        <v>22149848.252886601</v>
      </c>
      <c r="F105">
        <v>11454716.1374435</v>
      </c>
      <c r="G105">
        <v>11724245.289895101</v>
      </c>
      <c r="H105">
        <v>1.21684423917633E-2</v>
      </c>
      <c r="I105">
        <v>1.2168442391763299</v>
      </c>
      <c r="J105">
        <v>2.2989040726045899E-2</v>
      </c>
      <c r="K105" s="286">
        <v>2.2989040726045902</v>
      </c>
      <c r="L105" s="288" t="s">
        <v>28</v>
      </c>
      <c r="M105" s="288">
        <v>5000</v>
      </c>
      <c r="N105" s="288">
        <v>9</v>
      </c>
      <c r="O105" s="288">
        <v>5.8350860000000013</v>
      </c>
      <c r="P105" s="288">
        <v>10.495376751836918</v>
      </c>
      <c r="Q105" s="288">
        <v>3.3979400086720375</v>
      </c>
      <c r="R105" s="288" t="s">
        <v>60</v>
      </c>
      <c r="S105" s="288">
        <v>2</v>
      </c>
      <c r="T105" s="288" t="s">
        <v>66</v>
      </c>
      <c r="V105" t="s">
        <v>61</v>
      </c>
      <c r="W105" t="s">
        <v>31</v>
      </c>
    </row>
    <row r="106" spans="1:23" x14ac:dyDescent="0.25">
      <c r="A106" t="s">
        <v>181</v>
      </c>
      <c r="B106" t="s">
        <v>176</v>
      </c>
      <c r="C106" s="285">
        <v>0</v>
      </c>
      <c r="D106">
        <v>0</v>
      </c>
      <c r="E106">
        <v>23974719.249548201</v>
      </c>
      <c r="F106">
        <v>12351821.3274386</v>
      </c>
      <c r="G106">
        <v>12352314.5576548</v>
      </c>
      <c r="H106" s="1">
        <v>0</v>
      </c>
      <c r="I106">
        <v>0</v>
      </c>
      <c r="J106" s="1">
        <v>0</v>
      </c>
      <c r="K106" s="286">
        <v>0</v>
      </c>
      <c r="L106" s="288" t="s">
        <v>28</v>
      </c>
      <c r="M106" s="288">
        <v>5000</v>
      </c>
      <c r="N106" s="288">
        <v>14</v>
      </c>
      <c r="O106" s="288">
        <v>0</v>
      </c>
      <c r="P106" s="288">
        <v>7.5094554252672419</v>
      </c>
      <c r="Q106" s="288">
        <v>0</v>
      </c>
      <c r="R106" s="288" t="s">
        <v>60</v>
      </c>
      <c r="S106" s="288">
        <v>13</v>
      </c>
      <c r="T106" s="288" t="s">
        <v>66</v>
      </c>
      <c r="V106" t="s">
        <v>61</v>
      </c>
      <c r="W106" t="s">
        <v>26</v>
      </c>
    </row>
    <row r="107" spans="1:23" x14ac:dyDescent="0.25">
      <c r="A107" t="s">
        <v>182</v>
      </c>
      <c r="B107" t="s">
        <v>176</v>
      </c>
      <c r="C107" s="285">
        <v>2</v>
      </c>
      <c r="D107">
        <v>423634.89531672798</v>
      </c>
      <c r="E107">
        <v>24248103.483039301</v>
      </c>
      <c r="F107">
        <v>9925103.7211520895</v>
      </c>
      <c r="G107">
        <v>10348738.6164688</v>
      </c>
      <c r="H107">
        <v>1.7470846559733799E-2</v>
      </c>
      <c r="I107">
        <v>1.7470846559733799</v>
      </c>
      <c r="J107">
        <v>4.0935896732628103E-2</v>
      </c>
      <c r="K107" s="286">
        <v>4.0935896732628096</v>
      </c>
      <c r="L107" s="288" t="s">
        <v>28</v>
      </c>
      <c r="M107" s="288">
        <v>5000</v>
      </c>
      <c r="N107" s="288">
        <v>4</v>
      </c>
      <c r="O107" s="288">
        <v>6.0097400000000007</v>
      </c>
      <c r="P107" s="288">
        <v>10.904669372579463</v>
      </c>
      <c r="Q107" s="288">
        <v>2.9030899869919438</v>
      </c>
      <c r="R107" s="288" t="s">
        <v>60</v>
      </c>
      <c r="S107" s="288">
        <v>2</v>
      </c>
      <c r="T107" s="288" t="s">
        <v>66</v>
      </c>
      <c r="V107" t="s">
        <v>61</v>
      </c>
      <c r="W107" t="s">
        <v>31</v>
      </c>
    </row>
    <row r="108" spans="1:23" x14ac:dyDescent="0.25">
      <c r="A108" t="s">
        <v>183</v>
      </c>
      <c r="B108" t="s">
        <v>176</v>
      </c>
      <c r="C108" s="285">
        <v>0</v>
      </c>
      <c r="D108">
        <v>0</v>
      </c>
      <c r="E108">
        <v>24503391.881874301</v>
      </c>
      <c r="F108">
        <v>12221653.417451501</v>
      </c>
      <c r="G108">
        <v>12221703.1211861</v>
      </c>
      <c r="H108" s="1">
        <v>0</v>
      </c>
      <c r="I108">
        <v>0</v>
      </c>
      <c r="J108" s="1">
        <v>0</v>
      </c>
      <c r="K108" s="286">
        <v>0</v>
      </c>
      <c r="L108" s="288" t="s">
        <v>28</v>
      </c>
      <c r="M108" s="288">
        <v>5000</v>
      </c>
      <c r="N108" s="288">
        <v>10</v>
      </c>
      <c r="O108" s="288">
        <v>0</v>
      </c>
      <c r="P108" s="288">
        <v>7.4266930055072624</v>
      </c>
      <c r="Q108" s="288">
        <v>0</v>
      </c>
      <c r="R108" s="288" t="s">
        <v>60</v>
      </c>
      <c r="S108" s="288">
        <v>15</v>
      </c>
      <c r="T108" s="288" t="s">
        <v>66</v>
      </c>
      <c r="V108" t="s">
        <v>25</v>
      </c>
      <c r="W108" t="s">
        <v>26</v>
      </c>
    </row>
    <row r="109" spans="1:23" x14ac:dyDescent="0.25">
      <c r="A109" t="s">
        <v>184</v>
      </c>
      <c r="B109" t="s">
        <v>185</v>
      </c>
      <c r="C109" s="285">
        <v>0</v>
      </c>
      <c r="D109">
        <v>0</v>
      </c>
      <c r="E109">
        <v>19233548.178208701</v>
      </c>
      <c r="F109">
        <v>9953905.5105228908</v>
      </c>
      <c r="G109">
        <v>9954414.6036360301</v>
      </c>
      <c r="H109" s="1">
        <v>0</v>
      </c>
      <c r="I109">
        <v>0</v>
      </c>
      <c r="J109" s="1">
        <v>0</v>
      </c>
      <c r="K109" s="286">
        <v>0</v>
      </c>
      <c r="L109" s="288" t="s">
        <v>28</v>
      </c>
      <c r="M109" s="288">
        <v>5000</v>
      </c>
      <c r="N109" s="288">
        <v>2</v>
      </c>
      <c r="O109" s="288">
        <v>4.9644179467085703</v>
      </c>
      <c r="P109" s="288">
        <v>0</v>
      </c>
      <c r="Q109" s="288">
        <v>0</v>
      </c>
      <c r="R109" s="288" t="s">
        <v>60</v>
      </c>
      <c r="S109" s="288">
        <v>15</v>
      </c>
      <c r="T109" s="288" t="s">
        <v>66</v>
      </c>
      <c r="V109" t="s">
        <v>25</v>
      </c>
      <c r="W109" t="s">
        <v>26</v>
      </c>
    </row>
    <row r="110" spans="1:23" x14ac:dyDescent="0.25">
      <c r="A110" t="s">
        <v>186</v>
      </c>
      <c r="B110" t="s">
        <v>185</v>
      </c>
      <c r="C110" s="285">
        <v>0</v>
      </c>
      <c r="D110">
        <v>0</v>
      </c>
      <c r="E110">
        <v>17044242.6316211</v>
      </c>
      <c r="F110">
        <v>7959037.7887694295</v>
      </c>
      <c r="G110">
        <v>7959354.4121139897</v>
      </c>
      <c r="H110" s="1">
        <v>0</v>
      </c>
      <c r="I110">
        <v>0</v>
      </c>
      <c r="J110" s="1">
        <v>0</v>
      </c>
      <c r="K110" s="286">
        <v>0</v>
      </c>
      <c r="L110" s="288" t="s">
        <v>28</v>
      </c>
      <c r="M110" s="288">
        <v>5000</v>
      </c>
      <c r="N110" s="288">
        <v>2</v>
      </c>
      <c r="O110" s="288">
        <v>9.206664320809244</v>
      </c>
      <c r="P110" s="288">
        <v>7.0569048513364727</v>
      </c>
      <c r="Q110" s="288">
        <v>0</v>
      </c>
      <c r="R110" s="288" t="s">
        <v>60</v>
      </c>
      <c r="S110" s="288">
        <v>15</v>
      </c>
      <c r="T110" s="288" t="s">
        <v>66</v>
      </c>
      <c r="V110" t="s">
        <v>25</v>
      </c>
      <c r="W110" t="s">
        <v>26</v>
      </c>
    </row>
    <row r="111" spans="1:23" x14ac:dyDescent="0.25">
      <c r="A111" t="s">
        <v>187</v>
      </c>
      <c r="B111" t="s">
        <v>185</v>
      </c>
      <c r="C111" s="285">
        <v>0</v>
      </c>
      <c r="D111">
        <v>0</v>
      </c>
      <c r="E111">
        <v>21850102.171970598</v>
      </c>
      <c r="F111">
        <v>11641794.828568101</v>
      </c>
      <c r="G111">
        <v>11643021.7704091</v>
      </c>
      <c r="H111" s="1">
        <v>0</v>
      </c>
      <c r="I111">
        <v>0</v>
      </c>
      <c r="J111" s="1">
        <v>0</v>
      </c>
      <c r="K111" s="286">
        <v>0</v>
      </c>
      <c r="L111" s="288" t="s">
        <v>28</v>
      </c>
      <c r="M111" s="288">
        <v>5000</v>
      </c>
      <c r="N111" s="288">
        <v>5</v>
      </c>
      <c r="O111" s="288">
        <v>7.7734924290121645</v>
      </c>
      <c r="P111" s="288">
        <v>6.9694159123539814</v>
      </c>
      <c r="Q111" s="288">
        <v>0</v>
      </c>
      <c r="R111" s="288" t="s">
        <v>60</v>
      </c>
      <c r="S111" s="288">
        <v>15</v>
      </c>
      <c r="T111" s="288" t="s">
        <v>66</v>
      </c>
      <c r="V111" t="s">
        <v>25</v>
      </c>
      <c r="W111" t="s">
        <v>26</v>
      </c>
    </row>
    <row r="112" spans="1:23" x14ac:dyDescent="0.25">
      <c r="A112" t="s">
        <v>188</v>
      </c>
      <c r="B112" t="s">
        <v>185</v>
      </c>
      <c r="C112" s="285">
        <v>0</v>
      </c>
      <c r="D112">
        <v>0</v>
      </c>
      <c r="E112">
        <v>27735351.527269401</v>
      </c>
      <c r="F112">
        <v>11381990.348269001</v>
      </c>
      <c r="G112">
        <v>11382232.3102543</v>
      </c>
      <c r="H112" s="1">
        <v>0</v>
      </c>
      <c r="I112">
        <v>0</v>
      </c>
      <c r="J112" s="1">
        <v>0</v>
      </c>
      <c r="K112" s="286">
        <v>0</v>
      </c>
      <c r="L112" s="288" t="s">
        <v>28</v>
      </c>
      <c r="M112" s="288">
        <v>5000</v>
      </c>
      <c r="N112" s="288">
        <v>6</v>
      </c>
      <c r="O112" s="288">
        <v>0</v>
      </c>
      <c r="P112" s="288">
        <v>7.3502480183341632</v>
      </c>
      <c r="Q112" s="288">
        <v>0</v>
      </c>
      <c r="R112" s="288" t="s">
        <v>60</v>
      </c>
      <c r="S112" s="288">
        <v>15</v>
      </c>
      <c r="T112" s="288" t="s">
        <v>66</v>
      </c>
      <c r="V112" t="s">
        <v>25</v>
      </c>
      <c r="W112" t="s">
        <v>26</v>
      </c>
    </row>
    <row r="113" spans="1:23" x14ac:dyDescent="0.25">
      <c r="A113" t="s">
        <v>189</v>
      </c>
      <c r="B113" t="s">
        <v>185</v>
      </c>
      <c r="C113" s="285">
        <v>0</v>
      </c>
      <c r="D113">
        <v>0</v>
      </c>
      <c r="E113">
        <v>24356708.222118799</v>
      </c>
      <c r="F113">
        <v>10306681.9474968</v>
      </c>
      <c r="G113">
        <v>10307121.455362201</v>
      </c>
      <c r="H113" s="1">
        <v>0</v>
      </c>
      <c r="I113">
        <v>0</v>
      </c>
      <c r="J113" s="1">
        <v>0</v>
      </c>
      <c r="K113" s="286">
        <v>0</v>
      </c>
      <c r="L113" s="288" t="s">
        <v>28</v>
      </c>
      <c r="M113" s="288">
        <v>5000</v>
      </c>
      <c r="N113" s="288">
        <v>7</v>
      </c>
      <c r="O113" s="288">
        <v>0</v>
      </c>
      <c r="P113" s="288">
        <v>7.2873537727147468</v>
      </c>
      <c r="Q113" s="288">
        <v>0</v>
      </c>
      <c r="R113" s="288" t="s">
        <v>60</v>
      </c>
      <c r="S113" s="288">
        <v>15</v>
      </c>
      <c r="T113" s="288" t="s">
        <v>66</v>
      </c>
      <c r="V113" t="s">
        <v>25</v>
      </c>
      <c r="W113" t="s">
        <v>26</v>
      </c>
    </row>
    <row r="114" spans="1:23" x14ac:dyDescent="0.25">
      <c r="A114" t="s">
        <v>190</v>
      </c>
      <c r="B114" t="s">
        <v>185</v>
      </c>
      <c r="C114" s="285">
        <v>0</v>
      </c>
      <c r="D114">
        <v>0</v>
      </c>
      <c r="E114">
        <v>26776022.773972701</v>
      </c>
      <c r="F114">
        <v>12272144.6921064</v>
      </c>
      <c r="G114">
        <v>12272834.833671801</v>
      </c>
      <c r="H114" s="1">
        <v>0</v>
      </c>
      <c r="I114">
        <v>0</v>
      </c>
      <c r="J114" s="1">
        <v>0</v>
      </c>
      <c r="K114" s="286">
        <v>0</v>
      </c>
      <c r="L114" s="288" t="s">
        <v>28</v>
      </c>
      <c r="M114" s="288">
        <v>5000</v>
      </c>
      <c r="N114" s="288">
        <v>6</v>
      </c>
      <c r="O114" s="288">
        <v>0</v>
      </c>
      <c r="P114" s="288">
        <v>7.4712917110589387</v>
      </c>
      <c r="Q114" s="288">
        <v>0</v>
      </c>
      <c r="R114" s="288" t="s">
        <v>60</v>
      </c>
      <c r="S114" s="288">
        <v>15</v>
      </c>
      <c r="T114" s="288" t="s">
        <v>66</v>
      </c>
      <c r="V114" t="s">
        <v>25</v>
      </c>
      <c r="W114" t="s">
        <v>26</v>
      </c>
    </row>
    <row r="115" spans="1:23" x14ac:dyDescent="0.25">
      <c r="A115" t="s">
        <v>191</v>
      </c>
      <c r="B115" t="s">
        <v>185</v>
      </c>
      <c r="C115" s="285">
        <v>0</v>
      </c>
      <c r="D115">
        <v>0</v>
      </c>
      <c r="E115">
        <v>25951177.9465001</v>
      </c>
      <c r="F115">
        <v>13961279.4617576</v>
      </c>
      <c r="G115">
        <v>13970803.753526499</v>
      </c>
      <c r="H115" s="1">
        <v>0</v>
      </c>
      <c r="I115">
        <v>0</v>
      </c>
      <c r="J115" s="1">
        <v>0</v>
      </c>
      <c r="K115" s="286">
        <v>0</v>
      </c>
      <c r="L115" s="288" t="s">
        <v>28</v>
      </c>
      <c r="M115" s="288">
        <v>5000</v>
      </c>
      <c r="N115" s="288">
        <v>8</v>
      </c>
      <c r="O115" s="288">
        <v>7.0209413909424168</v>
      </c>
      <c r="P115" s="288">
        <v>7.480006942957151</v>
      </c>
      <c r="Q115" s="288">
        <v>0</v>
      </c>
      <c r="R115" s="288" t="s">
        <v>60</v>
      </c>
      <c r="S115" s="288">
        <v>5</v>
      </c>
      <c r="T115" s="288" t="s">
        <v>66</v>
      </c>
      <c r="V115" t="s">
        <v>25</v>
      </c>
      <c r="W115" t="s">
        <v>26</v>
      </c>
    </row>
    <row r="116" spans="1:23" x14ac:dyDescent="0.25">
      <c r="A116" t="s">
        <v>192</v>
      </c>
      <c r="B116" t="s">
        <v>185</v>
      </c>
      <c r="C116" s="285">
        <v>0</v>
      </c>
      <c r="D116">
        <v>0</v>
      </c>
      <c r="E116">
        <v>16912110.026899599</v>
      </c>
      <c r="F116">
        <v>8090783.6794097498</v>
      </c>
      <c r="G116">
        <v>8091178.7711837497</v>
      </c>
      <c r="H116" s="1">
        <v>0</v>
      </c>
      <c r="I116">
        <v>0</v>
      </c>
      <c r="J116" s="1">
        <v>0</v>
      </c>
      <c r="K116" s="286">
        <v>0</v>
      </c>
      <c r="L116" s="288" t="s">
        <v>28</v>
      </c>
      <c r="M116" s="288">
        <v>5000</v>
      </c>
      <c r="N116" s="288">
        <v>3</v>
      </c>
      <c r="O116" s="288">
        <v>0</v>
      </c>
      <c r="P116" s="288">
        <v>8.1920095926536707</v>
      </c>
      <c r="Q116" s="288">
        <v>0</v>
      </c>
      <c r="R116" s="288" t="s">
        <v>60</v>
      </c>
      <c r="S116" s="288">
        <v>15</v>
      </c>
      <c r="T116" s="288" t="s">
        <v>66</v>
      </c>
      <c r="V116" t="s">
        <v>25</v>
      </c>
      <c r="W116" t="s">
        <v>26</v>
      </c>
    </row>
    <row r="117" spans="1:23" x14ac:dyDescent="0.25">
      <c r="A117" t="s">
        <v>193</v>
      </c>
      <c r="B117" t="s">
        <v>185</v>
      </c>
      <c r="C117" s="285">
        <v>0</v>
      </c>
      <c r="D117">
        <v>0</v>
      </c>
      <c r="E117">
        <v>28892776.244235199</v>
      </c>
      <c r="F117">
        <v>13560208.8563594</v>
      </c>
      <c r="G117">
        <v>13560791.7648123</v>
      </c>
      <c r="H117" s="1">
        <v>0</v>
      </c>
      <c r="I117">
        <v>0</v>
      </c>
      <c r="J117" s="1">
        <v>0</v>
      </c>
      <c r="K117" s="286">
        <v>0</v>
      </c>
      <c r="L117" s="288" t="s">
        <v>28</v>
      </c>
      <c r="M117" s="288">
        <v>5000</v>
      </c>
      <c r="N117" s="288">
        <v>3</v>
      </c>
      <c r="O117" s="288">
        <v>0</v>
      </c>
      <c r="P117" s="288">
        <v>6.215373152783422</v>
      </c>
      <c r="Q117" s="288">
        <v>0</v>
      </c>
      <c r="R117" s="288" t="s">
        <v>60</v>
      </c>
      <c r="S117" s="288">
        <v>15</v>
      </c>
      <c r="T117" s="288" t="s">
        <v>66</v>
      </c>
      <c r="V117" t="s">
        <v>25</v>
      </c>
      <c r="W117" t="s">
        <v>26</v>
      </c>
    </row>
    <row r="118" spans="1:23" x14ac:dyDescent="0.25">
      <c r="A118" t="s">
        <v>194</v>
      </c>
      <c r="B118" t="s">
        <v>185</v>
      </c>
      <c r="C118" s="285">
        <v>0</v>
      </c>
      <c r="D118">
        <v>0</v>
      </c>
      <c r="E118">
        <v>18948058.2346914</v>
      </c>
      <c r="F118">
        <v>8800511.0962656606</v>
      </c>
      <c r="G118">
        <v>8800596.9673924092</v>
      </c>
      <c r="H118" s="1">
        <v>0</v>
      </c>
      <c r="I118">
        <v>0</v>
      </c>
      <c r="J118" s="1">
        <v>0</v>
      </c>
      <c r="K118" s="286">
        <v>0</v>
      </c>
      <c r="L118" s="288" t="s">
        <v>28</v>
      </c>
      <c r="M118" s="288">
        <v>5000</v>
      </c>
      <c r="N118" s="288">
        <v>12</v>
      </c>
      <c r="O118" s="288">
        <v>0</v>
      </c>
      <c r="P118" s="288">
        <v>6.3096301674258983</v>
      </c>
      <c r="Q118" s="288">
        <v>0</v>
      </c>
      <c r="R118" s="288" t="s">
        <v>60</v>
      </c>
      <c r="S118" s="288">
        <v>15</v>
      </c>
      <c r="T118" s="288" t="s">
        <v>66</v>
      </c>
      <c r="V118" t="s">
        <v>25</v>
      </c>
      <c r="W118" t="s">
        <v>26</v>
      </c>
    </row>
    <row r="119" spans="1:23" x14ac:dyDescent="0.25">
      <c r="A119" t="s">
        <v>195</v>
      </c>
      <c r="B119" t="s">
        <v>185</v>
      </c>
      <c r="C119" s="285">
        <v>0</v>
      </c>
      <c r="D119">
        <v>0</v>
      </c>
      <c r="E119">
        <v>21923214.8679475</v>
      </c>
      <c r="F119">
        <v>10091434.5445391</v>
      </c>
      <c r="G119">
        <v>10091527.1838273</v>
      </c>
      <c r="H119" s="1">
        <v>0</v>
      </c>
      <c r="I119">
        <v>0</v>
      </c>
      <c r="J119" s="1">
        <v>0</v>
      </c>
      <c r="K119" s="286">
        <v>0</v>
      </c>
      <c r="L119" s="288" t="s">
        <v>28</v>
      </c>
      <c r="M119" s="288">
        <v>5000</v>
      </c>
      <c r="N119" s="288">
        <v>5</v>
      </c>
      <c r="O119" s="288">
        <v>0</v>
      </c>
      <c r="P119" s="288">
        <v>8.2513948500401035</v>
      </c>
      <c r="Q119" s="288">
        <v>0</v>
      </c>
      <c r="R119" s="288" t="s">
        <v>60</v>
      </c>
      <c r="S119" s="288">
        <v>15</v>
      </c>
      <c r="T119" s="288" t="s">
        <v>66</v>
      </c>
      <c r="V119" t="s">
        <v>25</v>
      </c>
      <c r="W119" t="s">
        <v>26</v>
      </c>
    </row>
    <row r="120" spans="1:23" x14ac:dyDescent="0.25">
      <c r="A120" t="s">
        <v>196</v>
      </c>
      <c r="B120" t="s">
        <v>185</v>
      </c>
      <c r="C120" s="285">
        <v>0</v>
      </c>
      <c r="D120">
        <v>0</v>
      </c>
      <c r="E120">
        <v>17571856.974357702</v>
      </c>
      <c r="F120">
        <v>8156698.6099950904</v>
      </c>
      <c r="G120">
        <v>8156875.6398782702</v>
      </c>
      <c r="H120" s="1">
        <v>0</v>
      </c>
      <c r="I120">
        <v>0</v>
      </c>
      <c r="J120" s="1">
        <v>0</v>
      </c>
      <c r="K120" s="286">
        <v>0</v>
      </c>
      <c r="L120" s="288" t="s">
        <v>28</v>
      </c>
      <c r="M120" s="288">
        <v>5000</v>
      </c>
      <c r="N120" s="288">
        <v>0</v>
      </c>
      <c r="O120" s="288">
        <v>0</v>
      </c>
      <c r="P120" s="288">
        <v>0</v>
      </c>
      <c r="Q120" s="288">
        <v>0</v>
      </c>
      <c r="R120" s="288" t="s">
        <v>60</v>
      </c>
      <c r="S120" s="288">
        <v>15</v>
      </c>
      <c r="T120" s="288" t="s">
        <v>66</v>
      </c>
      <c r="V120" t="s">
        <v>25</v>
      </c>
      <c r="W120" t="s">
        <v>26</v>
      </c>
    </row>
    <row r="121" spans="1:23" x14ac:dyDescent="0.25">
      <c r="A121" t="s">
        <v>197</v>
      </c>
      <c r="B121" t="s">
        <v>185</v>
      </c>
      <c r="C121" s="285">
        <v>0</v>
      </c>
      <c r="D121">
        <v>0</v>
      </c>
      <c r="E121">
        <v>21810809.272007</v>
      </c>
      <c r="F121">
        <v>9876835.8774711806</v>
      </c>
      <c r="G121">
        <v>9877136.4264342301</v>
      </c>
      <c r="H121" s="1">
        <v>0</v>
      </c>
      <c r="I121">
        <v>0</v>
      </c>
      <c r="J121" s="1">
        <v>0</v>
      </c>
      <c r="K121" s="286">
        <v>0</v>
      </c>
      <c r="L121" s="288" t="s">
        <v>28</v>
      </c>
      <c r="M121" s="288">
        <v>5000</v>
      </c>
      <c r="N121" s="288">
        <v>3</v>
      </c>
      <c r="O121" s="288">
        <v>0</v>
      </c>
      <c r="P121" s="288">
        <v>6.6394864892685863</v>
      </c>
      <c r="Q121" s="288">
        <v>0</v>
      </c>
      <c r="R121" s="288" t="s">
        <v>60</v>
      </c>
      <c r="S121" s="288">
        <v>15</v>
      </c>
      <c r="T121" s="288" t="s">
        <v>66</v>
      </c>
      <c r="V121" t="s">
        <v>25</v>
      </c>
      <c r="W121" t="s">
        <v>26</v>
      </c>
    </row>
    <row r="122" spans="1:23" x14ac:dyDescent="0.25">
      <c r="A122" t="s">
        <v>198</v>
      </c>
      <c r="B122" t="s">
        <v>185</v>
      </c>
      <c r="C122" s="285">
        <v>0</v>
      </c>
      <c r="D122">
        <v>0</v>
      </c>
      <c r="E122">
        <v>26590341.801235799</v>
      </c>
      <c r="F122">
        <v>11776052.099256201</v>
      </c>
      <c r="G122">
        <v>11787496.6475666</v>
      </c>
      <c r="H122" s="1">
        <v>0</v>
      </c>
      <c r="I122">
        <v>0</v>
      </c>
      <c r="J122" s="1">
        <v>0</v>
      </c>
      <c r="K122" s="286">
        <v>0</v>
      </c>
      <c r="L122" s="288" t="s">
        <v>28</v>
      </c>
      <c r="M122" s="288">
        <v>5000</v>
      </c>
      <c r="N122" s="288">
        <v>11</v>
      </c>
      <c r="O122" s="288">
        <v>0</v>
      </c>
      <c r="P122" s="288">
        <v>7.5587085705331658</v>
      </c>
      <c r="Q122" s="288">
        <v>0</v>
      </c>
      <c r="R122" s="288" t="s">
        <v>60</v>
      </c>
      <c r="S122" s="288">
        <v>5</v>
      </c>
      <c r="T122" s="288" t="s">
        <v>66</v>
      </c>
      <c r="V122" t="s">
        <v>25</v>
      </c>
      <c r="W122" t="s">
        <v>26</v>
      </c>
    </row>
    <row r="123" spans="1:23" x14ac:dyDescent="0.25">
      <c r="A123" t="s">
        <v>199</v>
      </c>
      <c r="B123" t="s">
        <v>185</v>
      </c>
      <c r="C123" s="285">
        <v>0</v>
      </c>
      <c r="D123">
        <v>0</v>
      </c>
      <c r="E123">
        <v>16906903.919728</v>
      </c>
      <c r="F123">
        <v>8584777.9834487494</v>
      </c>
      <c r="G123">
        <v>8585208.6080772504</v>
      </c>
      <c r="H123" s="1">
        <v>0</v>
      </c>
      <c r="I123">
        <v>0</v>
      </c>
      <c r="J123" s="1">
        <v>0</v>
      </c>
      <c r="K123" s="286">
        <v>0</v>
      </c>
      <c r="L123" s="288" t="s">
        <v>28</v>
      </c>
      <c r="M123" s="288">
        <v>5000</v>
      </c>
      <c r="N123" s="288">
        <v>0</v>
      </c>
      <c r="O123" s="288">
        <v>0</v>
      </c>
      <c r="P123" s="288">
        <v>0</v>
      </c>
      <c r="Q123" s="288">
        <v>0</v>
      </c>
      <c r="R123" s="288" t="s">
        <v>29</v>
      </c>
      <c r="S123" s="288">
        <v>5</v>
      </c>
      <c r="T123" s="288" t="s">
        <v>66</v>
      </c>
      <c r="V123" t="s">
        <v>25</v>
      </c>
      <c r="W123" t="s">
        <v>26</v>
      </c>
    </row>
    <row r="124" spans="1:23" x14ac:dyDescent="0.25">
      <c r="A124" t="s">
        <v>201</v>
      </c>
      <c r="B124" t="s">
        <v>185</v>
      </c>
      <c r="C124" s="285">
        <v>0</v>
      </c>
      <c r="D124">
        <v>0</v>
      </c>
      <c r="E124">
        <v>21382303.366879299</v>
      </c>
      <c r="F124">
        <v>10429822.369743001</v>
      </c>
      <c r="G124">
        <v>10430482.054576</v>
      </c>
      <c r="H124" s="1">
        <v>0</v>
      </c>
      <c r="I124">
        <v>0</v>
      </c>
      <c r="J124" s="1">
        <v>0</v>
      </c>
      <c r="K124" s="286">
        <v>0</v>
      </c>
      <c r="L124" s="288" t="s">
        <v>28</v>
      </c>
      <c r="M124" s="288">
        <v>5000</v>
      </c>
      <c r="N124" s="288">
        <v>3</v>
      </c>
      <c r="O124" s="288">
        <v>8.3463529744506388</v>
      </c>
      <c r="P124" s="288">
        <v>9.3369308378540605</v>
      </c>
      <c r="Q124" s="288">
        <v>2.3117538610557542</v>
      </c>
      <c r="R124" s="288" t="s">
        <v>29</v>
      </c>
      <c r="S124" s="288">
        <v>15</v>
      </c>
      <c r="T124" s="288" t="s">
        <v>66</v>
      </c>
      <c r="V124" t="s">
        <v>25</v>
      </c>
      <c r="W124" t="s">
        <v>26</v>
      </c>
    </row>
    <row r="125" spans="1:23" x14ac:dyDescent="0.25">
      <c r="A125" t="s">
        <v>202</v>
      </c>
      <c r="B125" t="s">
        <v>185</v>
      </c>
      <c r="C125" s="285">
        <v>4</v>
      </c>
      <c r="D125">
        <v>8115197.7981416499</v>
      </c>
      <c r="E125">
        <v>28268709.316648699</v>
      </c>
      <c r="F125">
        <v>10575725.0133493</v>
      </c>
      <c r="G125">
        <v>18690922.811491001</v>
      </c>
      <c r="H125">
        <v>0.28707351677220799</v>
      </c>
      <c r="I125">
        <v>28.7073516772208</v>
      </c>
      <c r="J125">
        <v>0.43417855180229498</v>
      </c>
      <c r="K125" s="286">
        <v>43.417855180229502</v>
      </c>
      <c r="L125" s="288" t="s">
        <v>28</v>
      </c>
      <c r="M125" s="288">
        <v>5000</v>
      </c>
      <c r="N125" s="288">
        <v>23</v>
      </c>
      <c r="O125" s="288">
        <v>7.9928779687751943</v>
      </c>
      <c r="P125" s="288">
        <v>10.047530601262462</v>
      </c>
      <c r="Q125" s="288">
        <v>3.9030899869919438</v>
      </c>
      <c r="R125" s="288" t="s">
        <v>29</v>
      </c>
      <c r="S125" s="288">
        <v>15</v>
      </c>
      <c r="T125" s="288" t="s">
        <v>66</v>
      </c>
      <c r="V125" t="s">
        <v>25</v>
      </c>
      <c r="W125" t="s">
        <v>31</v>
      </c>
    </row>
    <row r="126" spans="1:23" x14ac:dyDescent="0.25">
      <c r="A126" t="s">
        <v>203</v>
      </c>
      <c r="B126" t="s">
        <v>185</v>
      </c>
      <c r="C126" s="285">
        <v>0</v>
      </c>
      <c r="D126">
        <v>0</v>
      </c>
      <c r="E126">
        <v>8013303.38242245</v>
      </c>
      <c r="F126">
        <v>4076825.0084329299</v>
      </c>
      <c r="G126">
        <v>4076840.87132659</v>
      </c>
      <c r="H126" s="1">
        <v>0</v>
      </c>
      <c r="I126">
        <v>0</v>
      </c>
      <c r="J126" s="1">
        <v>0</v>
      </c>
      <c r="K126" s="286">
        <v>0</v>
      </c>
      <c r="L126" s="288" t="s">
        <v>28</v>
      </c>
      <c r="M126" s="288">
        <v>5000</v>
      </c>
      <c r="N126" s="288">
        <v>0</v>
      </c>
      <c r="O126" s="288">
        <v>6.1569550904952575</v>
      </c>
      <c r="P126" s="288">
        <v>9.4209443844390606</v>
      </c>
      <c r="Q126" s="288">
        <v>3.3324384599156054</v>
      </c>
      <c r="R126" s="288" t="s">
        <v>29</v>
      </c>
      <c r="S126" s="288">
        <v>15</v>
      </c>
      <c r="T126" s="288" t="s">
        <v>66</v>
      </c>
      <c r="V126" t="s">
        <v>25</v>
      </c>
      <c r="W126" t="s">
        <v>26</v>
      </c>
    </row>
    <row r="127" spans="1:23" x14ac:dyDescent="0.25">
      <c r="A127" t="s">
        <v>204</v>
      </c>
      <c r="B127" t="s">
        <v>205</v>
      </c>
      <c r="C127" s="285">
        <v>4</v>
      </c>
      <c r="D127">
        <v>4757569.5868720999</v>
      </c>
      <c r="E127">
        <v>27854157.708561499</v>
      </c>
      <c r="F127">
        <v>12181630.5208703</v>
      </c>
      <c r="G127">
        <v>16939200.107742399</v>
      </c>
      <c r="H127">
        <v>0.170802852365906</v>
      </c>
      <c r="I127">
        <v>17.080285236590601</v>
      </c>
      <c r="J127">
        <v>0.28086152572797901</v>
      </c>
      <c r="K127" s="286">
        <v>28.0861525727979</v>
      </c>
      <c r="L127" s="288" t="s">
        <v>28</v>
      </c>
      <c r="M127" s="288">
        <v>5000</v>
      </c>
      <c r="N127" s="288">
        <v>13</v>
      </c>
      <c r="O127" s="288">
        <v>7.7469867838377056</v>
      </c>
      <c r="P127" s="288">
        <v>10.301029995663981</v>
      </c>
      <c r="Q127" s="288">
        <v>4.4913616938342731</v>
      </c>
      <c r="R127" s="288" t="s">
        <v>29</v>
      </c>
      <c r="S127" s="288">
        <v>6</v>
      </c>
      <c r="T127" s="288" t="s">
        <v>66</v>
      </c>
      <c r="V127" t="s">
        <v>25</v>
      </c>
      <c r="W127" t="s">
        <v>31</v>
      </c>
    </row>
    <row r="128" spans="1:23" x14ac:dyDescent="0.25">
      <c r="A128" t="s">
        <v>206</v>
      </c>
      <c r="B128" t="s">
        <v>205</v>
      </c>
      <c r="C128" s="285">
        <v>3</v>
      </c>
      <c r="D128">
        <v>3589673.6545118298</v>
      </c>
      <c r="E128">
        <v>28052380.140640602</v>
      </c>
      <c r="F128">
        <v>12620909.7456076</v>
      </c>
      <c r="G128">
        <v>16210583.4001195</v>
      </c>
      <c r="H128">
        <v>0.12796324720095001</v>
      </c>
      <c r="I128">
        <v>12.796324720095001</v>
      </c>
      <c r="J128">
        <v>0.22144012747162201</v>
      </c>
      <c r="K128" s="286">
        <v>22.144012747162201</v>
      </c>
      <c r="L128" s="288" t="s">
        <v>28</v>
      </c>
      <c r="M128" s="288">
        <v>5000</v>
      </c>
      <c r="N128" s="288">
        <v>23</v>
      </c>
      <c r="O128" s="288">
        <v>7.9003284501425606</v>
      </c>
      <c r="P128" s="288">
        <v>10.465382851448418</v>
      </c>
      <c r="Q128" s="288">
        <v>4.4913616938342731</v>
      </c>
      <c r="R128" s="288" t="s">
        <v>29</v>
      </c>
      <c r="S128" s="288">
        <v>6</v>
      </c>
      <c r="T128" s="288" t="s">
        <v>66</v>
      </c>
      <c r="V128" t="s">
        <v>25</v>
      </c>
      <c r="W128" t="s">
        <v>31</v>
      </c>
    </row>
    <row r="129" spans="1:23" x14ac:dyDescent="0.25">
      <c r="A129" t="s">
        <v>207</v>
      </c>
      <c r="B129" t="s">
        <v>205</v>
      </c>
      <c r="C129" s="285">
        <v>4</v>
      </c>
      <c r="D129">
        <v>6678139.5407820903</v>
      </c>
      <c r="E129">
        <v>37309447.579531103</v>
      </c>
      <c r="F129">
        <v>15070590.311453</v>
      </c>
      <c r="G129">
        <v>21748729.852235001</v>
      </c>
      <c r="H129">
        <v>0.17899325704425301</v>
      </c>
      <c r="I129">
        <v>17.899325704425301</v>
      </c>
      <c r="J129">
        <v>0.307058829924994</v>
      </c>
      <c r="K129" s="286">
        <v>30.705882992499401</v>
      </c>
      <c r="L129" s="288" t="s">
        <v>28</v>
      </c>
      <c r="M129" s="288">
        <v>5000</v>
      </c>
      <c r="N129" s="288">
        <v>28</v>
      </c>
      <c r="O129" s="288">
        <v>7.4909728963389863</v>
      </c>
      <c r="P129" s="288">
        <v>10.131116825332255</v>
      </c>
      <c r="Q129" s="288">
        <v>5.1583624920952493</v>
      </c>
      <c r="R129" s="288" t="s">
        <v>29</v>
      </c>
      <c r="S129" s="288">
        <v>6</v>
      </c>
      <c r="T129" s="288" t="s">
        <v>66</v>
      </c>
      <c r="V129" t="s">
        <v>25</v>
      </c>
      <c r="W129" t="s">
        <v>31</v>
      </c>
    </row>
    <row r="130" spans="1:23" x14ac:dyDescent="0.25">
      <c r="A130" t="s">
        <v>208</v>
      </c>
      <c r="B130" t="s">
        <v>205</v>
      </c>
      <c r="C130" s="285">
        <v>4</v>
      </c>
      <c r="D130">
        <v>4301749.2715008697</v>
      </c>
      <c r="E130">
        <v>19946549.549694099</v>
      </c>
      <c r="F130">
        <v>8049592.38486645</v>
      </c>
      <c r="G130">
        <v>12351341.6563673</v>
      </c>
      <c r="H130">
        <v>0.215663830016497</v>
      </c>
      <c r="I130">
        <v>21.566383001649701</v>
      </c>
      <c r="J130">
        <v>0.34828194306188898</v>
      </c>
      <c r="K130" s="286">
        <v>34.828194306188898</v>
      </c>
      <c r="L130" s="288" t="s">
        <v>28</v>
      </c>
      <c r="M130" s="288">
        <v>5000</v>
      </c>
      <c r="N130" s="288">
        <v>15</v>
      </c>
      <c r="O130" s="288">
        <v>7.1416203846905466</v>
      </c>
      <c r="P130" s="288">
        <v>10.482873583608754</v>
      </c>
      <c r="Q130" s="288">
        <v>4.1583624920952493</v>
      </c>
      <c r="R130" s="288" t="s">
        <v>29</v>
      </c>
      <c r="S130" s="288">
        <v>6</v>
      </c>
      <c r="T130" s="288" t="s">
        <v>66</v>
      </c>
      <c r="V130" t="s">
        <v>25</v>
      </c>
      <c r="W130" t="s">
        <v>31</v>
      </c>
    </row>
    <row r="131" spans="1:23" x14ac:dyDescent="0.25">
      <c r="A131" t="s">
        <v>209</v>
      </c>
      <c r="B131" t="s">
        <v>205</v>
      </c>
      <c r="C131" s="285">
        <v>4</v>
      </c>
      <c r="D131">
        <v>2014840.9100925501</v>
      </c>
      <c r="E131">
        <v>25385380.3286281</v>
      </c>
      <c r="F131">
        <v>13716542.672180699</v>
      </c>
      <c r="G131">
        <v>15731383.582273301</v>
      </c>
      <c r="H131">
        <v>7.9370128948603305E-2</v>
      </c>
      <c r="I131">
        <v>7.93701289486033</v>
      </c>
      <c r="J131">
        <v>0.12807779427379401</v>
      </c>
      <c r="K131" s="286">
        <v>12.807779427379399</v>
      </c>
      <c r="L131" s="288" t="s">
        <v>81</v>
      </c>
      <c r="M131" s="288">
        <v>5000</v>
      </c>
      <c r="N131" s="288">
        <v>27</v>
      </c>
      <c r="O131" s="288">
        <v>7.361632280720106</v>
      </c>
      <c r="P131" s="288">
        <v>10.803457115648413</v>
      </c>
      <c r="Q131" s="288">
        <v>4.4913616938342731</v>
      </c>
      <c r="R131" s="288" t="s">
        <v>29</v>
      </c>
      <c r="S131" s="288">
        <v>6</v>
      </c>
      <c r="T131" s="288" t="s">
        <v>66</v>
      </c>
      <c r="V131" t="s">
        <v>25</v>
      </c>
      <c r="W131" t="s">
        <v>31</v>
      </c>
    </row>
    <row r="132" spans="1:23" x14ac:dyDescent="0.25">
      <c r="A132" t="s">
        <v>210</v>
      </c>
      <c r="B132" t="s">
        <v>205</v>
      </c>
      <c r="C132" s="285">
        <v>3</v>
      </c>
      <c r="D132">
        <v>1057497.4753819001</v>
      </c>
      <c r="E132">
        <v>32722176.158982702</v>
      </c>
      <c r="F132">
        <v>23329808.2533486</v>
      </c>
      <c r="G132">
        <v>24387305.7287305</v>
      </c>
      <c r="H132">
        <v>3.2317455606986102E-2</v>
      </c>
      <c r="I132">
        <v>3.2317455606986099</v>
      </c>
      <c r="J132">
        <v>4.3362620173989598E-2</v>
      </c>
      <c r="K132" s="286">
        <v>4.3362620173989601</v>
      </c>
      <c r="L132" s="288" t="s">
        <v>81</v>
      </c>
      <c r="M132" s="288">
        <v>5000</v>
      </c>
      <c r="N132" s="288">
        <v>43</v>
      </c>
      <c r="O132" s="288">
        <v>7.3309642072010268</v>
      </c>
      <c r="P132" s="288">
        <v>10.267124244508937</v>
      </c>
      <c r="Q132" s="288">
        <v>3.8241258339165491</v>
      </c>
      <c r="R132" s="288" t="s">
        <v>29</v>
      </c>
      <c r="S132" s="288">
        <v>6</v>
      </c>
      <c r="T132" s="288" t="s">
        <v>66</v>
      </c>
      <c r="V132" t="s">
        <v>25</v>
      </c>
      <c r="W132" t="s">
        <v>31</v>
      </c>
    </row>
    <row r="133" spans="1:23" x14ac:dyDescent="0.25">
      <c r="A133" t="s">
        <v>211</v>
      </c>
      <c r="B133" t="s">
        <v>205</v>
      </c>
      <c r="C133" s="285">
        <v>1</v>
      </c>
      <c r="D133">
        <v>431.89368028486598</v>
      </c>
      <c r="E133">
        <v>23082543.7834794</v>
      </c>
      <c r="F133">
        <v>11370241.7828416</v>
      </c>
      <c r="G133">
        <v>11370673.676521899</v>
      </c>
      <c r="H133" s="1">
        <v>1.8710835527320801E-5</v>
      </c>
      <c r="I133">
        <v>1.8710835527320801E-3</v>
      </c>
      <c r="J133" s="1">
        <v>3.7983121543329003E-5</v>
      </c>
      <c r="K133" s="286">
        <v>3.7983121543329001E-3</v>
      </c>
      <c r="L133" s="288" t="s">
        <v>28</v>
      </c>
      <c r="M133" s="288">
        <v>5000</v>
      </c>
      <c r="N133" s="288">
        <v>1</v>
      </c>
      <c r="O133" s="288">
        <v>5.3615231028904375</v>
      </c>
      <c r="P133" s="288">
        <v>5.0041704194686183</v>
      </c>
      <c r="Q133" s="288">
        <v>0</v>
      </c>
      <c r="R133" s="288" t="s">
        <v>29</v>
      </c>
      <c r="S133" s="288">
        <v>6</v>
      </c>
      <c r="T133" s="288" t="s">
        <v>66</v>
      </c>
      <c r="V133" t="s">
        <v>25</v>
      </c>
      <c r="W133" t="s">
        <v>31</v>
      </c>
    </row>
    <row r="134" spans="1:23" x14ac:dyDescent="0.25">
      <c r="A134" t="s">
        <v>212</v>
      </c>
      <c r="B134" t="s">
        <v>205</v>
      </c>
      <c r="C134" s="285">
        <v>0</v>
      </c>
      <c r="D134">
        <v>0</v>
      </c>
      <c r="E134">
        <v>23842650.4166434</v>
      </c>
      <c r="F134">
        <v>11010963.746039201</v>
      </c>
      <c r="G134">
        <v>11012332.607913099</v>
      </c>
      <c r="H134" s="1">
        <v>0</v>
      </c>
      <c r="I134">
        <v>0</v>
      </c>
      <c r="J134" s="1">
        <v>0</v>
      </c>
      <c r="K134" s="286">
        <v>0</v>
      </c>
      <c r="L134" s="288" t="s">
        <v>28</v>
      </c>
      <c r="M134" s="288">
        <v>5000</v>
      </c>
      <c r="N134" s="288">
        <v>13</v>
      </c>
      <c r="O134" s="288">
        <v>5.0041704194686183</v>
      </c>
      <c r="P134" s="288">
        <v>7.256293295925798</v>
      </c>
      <c r="Q134" s="288">
        <v>0</v>
      </c>
      <c r="R134" s="288" t="s">
        <v>60</v>
      </c>
      <c r="S134" s="288">
        <v>6</v>
      </c>
      <c r="T134" s="288" t="s">
        <v>66</v>
      </c>
      <c r="V134" t="s">
        <v>25</v>
      </c>
      <c r="W134" t="s">
        <v>26</v>
      </c>
    </row>
    <row r="135" spans="1:23" x14ac:dyDescent="0.25">
      <c r="A135" t="s">
        <v>213</v>
      </c>
      <c r="B135" t="s">
        <v>205</v>
      </c>
      <c r="C135" s="285">
        <v>0</v>
      </c>
      <c r="D135">
        <v>0</v>
      </c>
      <c r="E135">
        <v>20211424.409383699</v>
      </c>
      <c r="F135">
        <v>10127152.0662481</v>
      </c>
      <c r="G135">
        <v>10127380.491890101</v>
      </c>
      <c r="H135" s="1">
        <v>0</v>
      </c>
      <c r="I135">
        <v>0</v>
      </c>
      <c r="J135" s="1">
        <v>0</v>
      </c>
      <c r="K135" s="286">
        <v>0</v>
      </c>
      <c r="L135" s="288" t="s">
        <v>28</v>
      </c>
      <c r="M135" s="288">
        <v>5000</v>
      </c>
      <c r="N135" s="288">
        <v>12</v>
      </c>
      <c r="O135" s="288">
        <v>4.9668350173375835</v>
      </c>
      <c r="P135" s="288">
        <v>6.0908963598941046</v>
      </c>
      <c r="Q135" s="288">
        <v>0</v>
      </c>
      <c r="R135" s="288" t="s">
        <v>60</v>
      </c>
      <c r="S135" s="288">
        <v>6</v>
      </c>
      <c r="T135" s="288" t="s">
        <v>66</v>
      </c>
      <c r="V135" t="s">
        <v>25</v>
      </c>
      <c r="W135" t="s">
        <v>26</v>
      </c>
    </row>
    <row r="136" spans="1:23" x14ac:dyDescent="0.25">
      <c r="A136" t="s">
        <v>214</v>
      </c>
      <c r="B136" t="s">
        <v>205</v>
      </c>
      <c r="C136" s="285">
        <v>0</v>
      </c>
      <c r="D136">
        <v>0</v>
      </c>
      <c r="E136">
        <v>25570488.5696612</v>
      </c>
      <c r="F136">
        <v>12049683.4663231</v>
      </c>
      <c r="G136">
        <v>12050208.210788401</v>
      </c>
      <c r="H136" s="1">
        <v>0</v>
      </c>
      <c r="I136">
        <v>0</v>
      </c>
      <c r="J136" s="1">
        <v>0</v>
      </c>
      <c r="K136" s="286">
        <v>0</v>
      </c>
      <c r="L136" s="288" t="s">
        <v>81</v>
      </c>
      <c r="M136" s="288">
        <v>5000</v>
      </c>
      <c r="N136" s="288">
        <v>14</v>
      </c>
      <c r="O136" s="288">
        <v>2.5387026458467363</v>
      </c>
      <c r="P136" s="288">
        <v>7.0682830289056966</v>
      </c>
      <c r="Q136" s="288">
        <v>0</v>
      </c>
      <c r="R136" s="288" t="s">
        <v>60</v>
      </c>
      <c r="S136" s="288">
        <v>6</v>
      </c>
      <c r="T136" s="288" t="s">
        <v>66</v>
      </c>
      <c r="V136" t="s">
        <v>25</v>
      </c>
      <c r="W136" t="s">
        <v>26</v>
      </c>
    </row>
    <row r="137" spans="1:23" x14ac:dyDescent="0.25">
      <c r="A137" t="s">
        <v>215</v>
      </c>
      <c r="B137" t="s">
        <v>205</v>
      </c>
      <c r="C137" s="285">
        <v>0</v>
      </c>
      <c r="D137">
        <v>0</v>
      </c>
      <c r="E137">
        <v>27596548.9844447</v>
      </c>
      <c r="F137">
        <v>14868523.0285281</v>
      </c>
      <c r="G137">
        <v>14874534.641845901</v>
      </c>
      <c r="H137" s="1">
        <v>0</v>
      </c>
      <c r="I137">
        <v>0</v>
      </c>
      <c r="J137" s="1">
        <v>0</v>
      </c>
      <c r="K137" s="286">
        <v>0</v>
      </c>
      <c r="L137" s="288" t="s">
        <v>81</v>
      </c>
      <c r="M137" s="288">
        <v>5000</v>
      </c>
      <c r="N137" s="288">
        <v>8</v>
      </c>
      <c r="O137" s="288">
        <v>5.5068644956672159</v>
      </c>
      <c r="P137" s="288">
        <v>5.6642063346138576</v>
      </c>
      <c r="Q137" s="288">
        <v>0</v>
      </c>
      <c r="R137" s="288" t="s">
        <v>60</v>
      </c>
      <c r="S137" s="288">
        <v>6</v>
      </c>
      <c r="T137" s="288" t="s">
        <v>66</v>
      </c>
      <c r="V137" t="s">
        <v>25</v>
      </c>
      <c r="W137" t="s">
        <v>26</v>
      </c>
    </row>
    <row r="138" spans="1:23" x14ac:dyDescent="0.25">
      <c r="A138" t="s">
        <v>216</v>
      </c>
      <c r="B138" t="s">
        <v>205</v>
      </c>
      <c r="C138" s="285">
        <v>0</v>
      </c>
      <c r="D138">
        <v>0</v>
      </c>
      <c r="E138">
        <v>26393280.275338098</v>
      </c>
      <c r="F138">
        <v>10245302.903028199</v>
      </c>
      <c r="G138">
        <v>10245609.797108401</v>
      </c>
      <c r="H138" s="1">
        <v>0</v>
      </c>
      <c r="I138">
        <v>0</v>
      </c>
      <c r="J138" s="1">
        <v>0</v>
      </c>
      <c r="K138" s="286">
        <v>0</v>
      </c>
      <c r="L138" s="288" t="s">
        <v>81</v>
      </c>
      <c r="M138" s="288">
        <v>5000</v>
      </c>
      <c r="N138" s="288">
        <v>22</v>
      </c>
      <c r="O138" s="288">
        <v>4.3894701612883651</v>
      </c>
      <c r="P138" s="288">
        <v>6.7936014045337885</v>
      </c>
      <c r="Q138" s="288">
        <v>0</v>
      </c>
      <c r="R138" s="288" t="s">
        <v>60</v>
      </c>
      <c r="S138" s="288">
        <v>6</v>
      </c>
      <c r="T138" s="288" t="s">
        <v>66</v>
      </c>
      <c r="V138" t="s">
        <v>25</v>
      </c>
      <c r="W138" t="s">
        <v>26</v>
      </c>
    </row>
    <row r="139" spans="1:23" x14ac:dyDescent="0.25">
      <c r="A139" t="s">
        <v>217</v>
      </c>
      <c r="B139" t="s">
        <v>205</v>
      </c>
      <c r="C139" s="285">
        <v>1</v>
      </c>
      <c r="D139">
        <v>4201.7625512043496</v>
      </c>
      <c r="E139">
        <v>29456537.160209302</v>
      </c>
      <c r="F139">
        <v>14611070.475041701</v>
      </c>
      <c r="G139">
        <v>14615272.2375929</v>
      </c>
      <c r="H139">
        <v>1.4264278684054501E-4</v>
      </c>
      <c r="I139">
        <v>1.4264278684054501E-2</v>
      </c>
      <c r="J139">
        <v>2.8749122718335E-4</v>
      </c>
      <c r="K139" s="286">
        <v>2.8749122718335001E-2</v>
      </c>
      <c r="L139" s="288" t="s">
        <v>28</v>
      </c>
      <c r="M139" s="288">
        <v>5000</v>
      </c>
      <c r="N139" s="288">
        <v>17</v>
      </c>
      <c r="O139" s="288">
        <v>5.3241877646619988</v>
      </c>
      <c r="P139" s="288">
        <v>7.4589709572884786</v>
      </c>
      <c r="Q139" s="288">
        <v>0</v>
      </c>
      <c r="R139" s="288" t="s">
        <v>60</v>
      </c>
      <c r="S139" s="288">
        <v>6</v>
      </c>
      <c r="T139" s="288" t="s">
        <v>66</v>
      </c>
      <c r="V139" t="s">
        <v>25</v>
      </c>
      <c r="W139" t="s">
        <v>31</v>
      </c>
    </row>
    <row r="140" spans="1:23" x14ac:dyDescent="0.25">
      <c r="A140" t="s">
        <v>218</v>
      </c>
      <c r="B140" t="s">
        <v>205</v>
      </c>
      <c r="C140" s="285">
        <v>0</v>
      </c>
      <c r="D140">
        <v>0</v>
      </c>
      <c r="E140">
        <v>21281123.513447698</v>
      </c>
      <c r="F140">
        <v>8774766.2581490297</v>
      </c>
      <c r="G140">
        <v>8775043.9645470697</v>
      </c>
      <c r="H140" s="1">
        <v>0</v>
      </c>
      <c r="I140">
        <v>0</v>
      </c>
      <c r="J140" s="1">
        <v>0</v>
      </c>
      <c r="K140" s="286">
        <v>0</v>
      </c>
      <c r="L140" s="288" t="s">
        <v>28</v>
      </c>
      <c r="M140" s="288">
        <v>5000</v>
      </c>
      <c r="N140" s="288">
        <v>7</v>
      </c>
      <c r="O140" s="288">
        <v>3.9361121360443883</v>
      </c>
      <c r="P140" s="288">
        <v>6.6695946657791874</v>
      </c>
      <c r="Q140" s="288">
        <v>0</v>
      </c>
      <c r="R140" s="288" t="s">
        <v>60</v>
      </c>
      <c r="S140" s="288">
        <v>6</v>
      </c>
      <c r="T140" s="288" t="s">
        <v>66</v>
      </c>
      <c r="V140" t="s">
        <v>25</v>
      </c>
      <c r="W140" t="s">
        <v>26</v>
      </c>
    </row>
    <row r="141" spans="1:23" x14ac:dyDescent="0.25">
      <c r="A141" t="s">
        <v>219</v>
      </c>
      <c r="B141" t="s">
        <v>205</v>
      </c>
      <c r="C141" s="285">
        <v>1</v>
      </c>
      <c r="D141">
        <v>1813.02300039844</v>
      </c>
      <c r="E141">
        <v>29740553.07268</v>
      </c>
      <c r="F141">
        <v>13001910.649295401</v>
      </c>
      <c r="G141">
        <v>13003723.672295799</v>
      </c>
      <c r="H141" s="1">
        <v>6.0961307476958399E-5</v>
      </c>
      <c r="I141">
        <v>6.0961307476958401E-3</v>
      </c>
      <c r="J141">
        <v>1.3942337180395799E-4</v>
      </c>
      <c r="K141" s="286">
        <v>1.39423371803958E-2</v>
      </c>
      <c r="L141" s="288" t="s">
        <v>28</v>
      </c>
      <c r="M141" s="288">
        <v>5000</v>
      </c>
      <c r="N141" s="288">
        <v>13</v>
      </c>
      <c r="O141" s="288">
        <v>4.3121324854911602</v>
      </c>
      <c r="P141" s="288">
        <v>6.821602867280534</v>
      </c>
      <c r="Q141" s="288">
        <v>0</v>
      </c>
      <c r="R141" s="288" t="s">
        <v>60</v>
      </c>
      <c r="S141" s="288">
        <v>6</v>
      </c>
      <c r="T141" s="288" t="s">
        <v>66</v>
      </c>
      <c r="V141" t="s">
        <v>25</v>
      </c>
      <c r="W141" t="s">
        <v>31</v>
      </c>
    </row>
    <row r="142" spans="1:23" x14ac:dyDescent="0.25">
      <c r="A142" t="s">
        <v>220</v>
      </c>
      <c r="B142" t="s">
        <v>205</v>
      </c>
      <c r="C142" s="285">
        <v>0</v>
      </c>
      <c r="D142">
        <v>0</v>
      </c>
      <c r="E142">
        <v>33478603.439367801</v>
      </c>
      <c r="F142">
        <v>13569976.753198501</v>
      </c>
      <c r="G142">
        <v>13573182.749577399</v>
      </c>
      <c r="H142" s="1">
        <v>0</v>
      </c>
      <c r="I142">
        <v>0</v>
      </c>
      <c r="J142" s="1">
        <v>0</v>
      </c>
      <c r="K142" s="286">
        <v>0</v>
      </c>
      <c r="L142" s="288" t="s">
        <v>28</v>
      </c>
      <c r="M142" s="288">
        <v>5000</v>
      </c>
      <c r="N142" s="288">
        <v>9</v>
      </c>
      <c r="O142" s="288">
        <v>5.7002084083056968</v>
      </c>
      <c r="P142" s="288">
        <v>6.374911771239967</v>
      </c>
      <c r="Q142" s="288">
        <v>0</v>
      </c>
      <c r="R142" s="288" t="s">
        <v>60</v>
      </c>
      <c r="S142" s="288">
        <v>6</v>
      </c>
      <c r="T142" s="288" t="s">
        <v>66</v>
      </c>
      <c r="V142" t="s">
        <v>25</v>
      </c>
      <c r="W142" t="s">
        <v>26</v>
      </c>
    </row>
    <row r="143" spans="1:23" x14ac:dyDescent="0.25">
      <c r="A143" t="s">
        <v>221</v>
      </c>
      <c r="B143" t="s">
        <v>205</v>
      </c>
      <c r="C143" s="285">
        <v>1</v>
      </c>
      <c r="D143">
        <v>1295.4696203553599</v>
      </c>
      <c r="E143">
        <v>23010504.7035078</v>
      </c>
      <c r="F143">
        <v>13229458.859121</v>
      </c>
      <c r="G143">
        <v>13230754.3287414</v>
      </c>
      <c r="H143" s="1">
        <v>5.6299052847714002E-5</v>
      </c>
      <c r="I143">
        <v>5.6299052847714002E-3</v>
      </c>
      <c r="J143" s="1">
        <v>9.7913511820047196E-5</v>
      </c>
      <c r="K143" s="286">
        <v>9.7913511820047205E-3</v>
      </c>
      <c r="L143" s="288" t="s">
        <v>28</v>
      </c>
      <c r="M143" s="288">
        <v>5000</v>
      </c>
      <c r="N143" s="288">
        <v>12</v>
      </c>
      <c r="O143" s="288">
        <v>0</v>
      </c>
      <c r="P143" s="288">
        <v>0</v>
      </c>
      <c r="Q143" s="288">
        <v>0</v>
      </c>
      <c r="R143" s="288" t="s">
        <v>60</v>
      </c>
      <c r="S143" s="288">
        <v>6</v>
      </c>
      <c r="T143" s="288" t="s">
        <v>66</v>
      </c>
      <c r="V143" t="s">
        <v>25</v>
      </c>
      <c r="W143" t="s">
        <v>31</v>
      </c>
    </row>
    <row r="144" spans="1:23" x14ac:dyDescent="0.25">
      <c r="A144" t="s">
        <v>222</v>
      </c>
      <c r="B144" t="s">
        <v>205</v>
      </c>
      <c r="C144" s="285">
        <v>1</v>
      </c>
      <c r="D144">
        <v>600.25188286832997</v>
      </c>
      <c r="E144">
        <v>26833136.273256</v>
      </c>
      <c r="F144">
        <v>13092316.320757899</v>
      </c>
      <c r="G144">
        <v>13092916.572640801</v>
      </c>
      <c r="H144" s="1">
        <v>2.2369799666935899E-5</v>
      </c>
      <c r="I144">
        <v>2.2369799666935898E-3</v>
      </c>
      <c r="J144" s="1">
        <v>4.5845544003742002E-5</v>
      </c>
      <c r="K144" s="286">
        <v>4.5845544003742002E-3</v>
      </c>
      <c r="L144" s="288" t="s">
        <v>81</v>
      </c>
      <c r="M144" s="288">
        <v>5000</v>
      </c>
      <c r="N144" s="288">
        <v>5</v>
      </c>
      <c r="O144" s="288">
        <v>7.860326265485603</v>
      </c>
      <c r="P144" s="288">
        <v>6.4629167447489397</v>
      </c>
      <c r="Q144" s="288">
        <v>0</v>
      </c>
      <c r="R144" s="288" t="s">
        <v>60</v>
      </c>
      <c r="S144" s="288">
        <v>6</v>
      </c>
      <c r="T144" s="288" t="s">
        <v>66</v>
      </c>
      <c r="V144" t="s">
        <v>25</v>
      </c>
      <c r="W144" t="s">
        <v>31</v>
      </c>
    </row>
    <row r="145" spans="1:23" x14ac:dyDescent="0.25">
      <c r="A145" t="s">
        <v>223</v>
      </c>
      <c r="B145" t="s">
        <v>205</v>
      </c>
      <c r="C145" s="285">
        <v>1</v>
      </c>
      <c r="D145">
        <v>681.046916736247</v>
      </c>
      <c r="E145">
        <v>22102329.2511326</v>
      </c>
      <c r="F145">
        <v>10150973.6256919</v>
      </c>
      <c r="G145">
        <v>10151654.6726087</v>
      </c>
      <c r="H145" s="1">
        <v>3.0813354963542898E-5</v>
      </c>
      <c r="I145">
        <v>3.0813354963542899E-3</v>
      </c>
      <c r="J145" s="1">
        <v>6.7087281699391505E-5</v>
      </c>
      <c r="K145" s="286">
        <v>6.7087281699391502E-3</v>
      </c>
      <c r="L145" s="288" t="s">
        <v>81</v>
      </c>
      <c r="M145" s="288">
        <v>5000</v>
      </c>
      <c r="N145" s="288">
        <v>11</v>
      </c>
      <c r="O145" s="288">
        <v>4.7841583668080823</v>
      </c>
      <c r="P145" s="288">
        <v>7.3176300772135034</v>
      </c>
      <c r="Q145" s="288">
        <v>0</v>
      </c>
      <c r="R145" s="288" t="s">
        <v>60</v>
      </c>
      <c r="S145" s="288">
        <v>6</v>
      </c>
      <c r="T145" s="288" t="s">
        <v>66</v>
      </c>
      <c r="V145" t="s">
        <v>25</v>
      </c>
      <c r="W145" t="s">
        <v>31</v>
      </c>
    </row>
    <row r="146" spans="1:23" x14ac:dyDescent="0.25">
      <c r="A146" t="s">
        <v>224</v>
      </c>
      <c r="B146" t="s">
        <v>205</v>
      </c>
      <c r="C146" s="285">
        <v>0</v>
      </c>
      <c r="D146">
        <v>0</v>
      </c>
      <c r="E146">
        <v>25132697.796530701</v>
      </c>
      <c r="F146">
        <v>11534484.985934701</v>
      </c>
      <c r="G146">
        <v>11535159.0531087</v>
      </c>
      <c r="H146" s="1">
        <v>0</v>
      </c>
      <c r="I146">
        <v>0</v>
      </c>
      <c r="J146" s="1">
        <v>0</v>
      </c>
      <c r="K146" s="286">
        <v>0</v>
      </c>
      <c r="L146" s="288" t="s">
        <v>28</v>
      </c>
      <c r="M146" s="288">
        <v>5000</v>
      </c>
      <c r="N146" s="288">
        <v>16</v>
      </c>
      <c r="O146" s="288">
        <v>2.084011148855974</v>
      </c>
      <c r="P146" s="288">
        <v>4.1934594884198892</v>
      </c>
      <c r="Q146" s="288">
        <v>0</v>
      </c>
      <c r="R146" s="288" t="s">
        <v>60</v>
      </c>
      <c r="S146" s="288">
        <v>6</v>
      </c>
      <c r="T146" s="288" t="s">
        <v>66</v>
      </c>
      <c r="V146" t="s">
        <v>25</v>
      </c>
      <c r="W146" t="s">
        <v>26</v>
      </c>
    </row>
    <row r="147" spans="1:23" x14ac:dyDescent="0.25">
      <c r="A147" t="s">
        <v>225</v>
      </c>
      <c r="B147" t="s">
        <v>205</v>
      </c>
      <c r="C147" s="285">
        <v>0</v>
      </c>
      <c r="D147">
        <v>0</v>
      </c>
      <c r="E147">
        <v>21848807.624086302</v>
      </c>
      <c r="F147">
        <v>8076341.6616463503</v>
      </c>
      <c r="G147">
        <v>8076563.5306229703</v>
      </c>
      <c r="H147" s="1">
        <v>0</v>
      </c>
      <c r="I147">
        <v>0</v>
      </c>
      <c r="J147" s="1">
        <v>0</v>
      </c>
      <c r="K147" s="286">
        <v>0</v>
      </c>
      <c r="L147" s="288" t="s">
        <v>28</v>
      </c>
      <c r="M147" s="288">
        <v>5000</v>
      </c>
      <c r="N147" s="288">
        <v>4</v>
      </c>
      <c r="O147" s="288">
        <v>3.5774258464081972</v>
      </c>
      <c r="P147" s="288">
        <v>5.4855300676753993</v>
      </c>
      <c r="Q147" s="288">
        <v>0</v>
      </c>
      <c r="R147" s="288" t="s">
        <v>60</v>
      </c>
      <c r="S147" s="288">
        <v>6</v>
      </c>
      <c r="T147" s="288" t="s">
        <v>66</v>
      </c>
      <c r="V147" t="s">
        <v>25</v>
      </c>
      <c r="W147" t="s">
        <v>26</v>
      </c>
    </row>
    <row r="148" spans="1:23" x14ac:dyDescent="0.25">
      <c r="A148" t="s">
        <v>226</v>
      </c>
      <c r="B148" t="s">
        <v>205</v>
      </c>
      <c r="C148" s="285">
        <v>1</v>
      </c>
      <c r="D148">
        <v>1998.0898339166099</v>
      </c>
      <c r="E148">
        <v>21867825.0469051</v>
      </c>
      <c r="F148">
        <v>11240763.9825307</v>
      </c>
      <c r="G148">
        <v>11242762.0723646</v>
      </c>
      <c r="H148" s="1">
        <v>9.1371219114421597E-5</v>
      </c>
      <c r="I148">
        <v>9.1371219114421594E-3</v>
      </c>
      <c r="J148">
        <v>1.7772232668945501E-4</v>
      </c>
      <c r="K148" s="286">
        <v>1.7772232668945499E-2</v>
      </c>
      <c r="L148" s="288" t="s">
        <v>28</v>
      </c>
      <c r="M148" s="288">
        <v>5000</v>
      </c>
      <c r="N148" s="288">
        <v>13</v>
      </c>
      <c r="O148" s="288">
        <v>3.59476016371219</v>
      </c>
      <c r="P148" s="288">
        <v>5.050839640533674</v>
      </c>
      <c r="Q148" s="288">
        <v>0</v>
      </c>
      <c r="R148" s="288" t="s">
        <v>60</v>
      </c>
      <c r="S148" s="288">
        <v>6</v>
      </c>
      <c r="T148" s="288" t="s">
        <v>66</v>
      </c>
      <c r="V148" t="s">
        <v>25</v>
      </c>
      <c r="W148" t="s">
        <v>31</v>
      </c>
    </row>
    <row r="149" spans="1:23" x14ac:dyDescent="0.25">
      <c r="A149" t="s">
        <v>227</v>
      </c>
      <c r="B149" t="s">
        <v>205</v>
      </c>
      <c r="C149" s="285">
        <v>0</v>
      </c>
      <c r="D149">
        <v>0</v>
      </c>
      <c r="E149">
        <v>18817874.011292301</v>
      </c>
      <c r="F149">
        <v>9604129.4706508592</v>
      </c>
      <c r="G149">
        <v>9604168.3876129594</v>
      </c>
      <c r="H149" s="1">
        <v>0</v>
      </c>
      <c r="I149">
        <v>0</v>
      </c>
      <c r="J149" s="1">
        <v>0</v>
      </c>
      <c r="K149" s="286">
        <v>0</v>
      </c>
      <c r="L149" s="288" t="s">
        <v>81</v>
      </c>
      <c r="M149" s="288">
        <v>5000</v>
      </c>
      <c r="N149" s="288">
        <v>15</v>
      </c>
      <c r="O149" s="288">
        <v>2.4440307357971842</v>
      </c>
      <c r="P149" s="288">
        <v>6.8922734061183357</v>
      </c>
      <c r="Q149" s="288">
        <v>0</v>
      </c>
      <c r="R149" s="288" t="s">
        <v>60</v>
      </c>
      <c r="S149" s="288">
        <v>6</v>
      </c>
      <c r="T149" s="288" t="s">
        <v>66</v>
      </c>
      <c r="V149" t="s">
        <v>25</v>
      </c>
      <c r="W149" t="s">
        <v>26</v>
      </c>
    </row>
    <row r="150" spans="1:23" x14ac:dyDescent="0.25">
      <c r="A150" t="s">
        <v>228</v>
      </c>
      <c r="B150" t="s">
        <v>205</v>
      </c>
      <c r="C150" s="285">
        <v>0</v>
      </c>
      <c r="D150">
        <v>0</v>
      </c>
      <c r="E150">
        <v>25446923.1343497</v>
      </c>
      <c r="F150">
        <v>16655126.1564776</v>
      </c>
      <c r="G150">
        <v>16655765.113794999</v>
      </c>
      <c r="H150" s="1">
        <v>0</v>
      </c>
      <c r="I150">
        <v>0</v>
      </c>
      <c r="J150" s="1">
        <v>0</v>
      </c>
      <c r="K150" s="286">
        <v>0</v>
      </c>
      <c r="L150" s="288" t="s">
        <v>81</v>
      </c>
      <c r="M150" s="288">
        <v>5000</v>
      </c>
      <c r="N150" s="288">
        <v>20</v>
      </c>
      <c r="O150" s="288">
        <v>3.6494298867485426</v>
      </c>
      <c r="P150" s="288">
        <v>6.6309257568266169</v>
      </c>
      <c r="Q150" s="288">
        <v>0</v>
      </c>
      <c r="R150" s="288" t="s">
        <v>60</v>
      </c>
      <c r="S150" s="288">
        <v>6</v>
      </c>
      <c r="T150" s="288" t="s">
        <v>66</v>
      </c>
      <c r="V150" t="s">
        <v>25</v>
      </c>
      <c r="W150" t="s">
        <v>26</v>
      </c>
    </row>
    <row r="151" spans="1:23" x14ac:dyDescent="0.25">
      <c r="A151" t="s">
        <v>229</v>
      </c>
      <c r="B151" t="s">
        <v>205</v>
      </c>
      <c r="C151" s="285">
        <v>0</v>
      </c>
      <c r="D151">
        <v>0</v>
      </c>
      <c r="E151">
        <v>18857056.412450999</v>
      </c>
      <c r="F151">
        <v>9948572.2923896294</v>
      </c>
      <c r="G151">
        <v>9948821.8685596008</v>
      </c>
      <c r="H151" s="1">
        <v>0</v>
      </c>
      <c r="I151">
        <v>0</v>
      </c>
      <c r="J151" s="1">
        <v>0</v>
      </c>
      <c r="K151" s="286">
        <v>0</v>
      </c>
      <c r="L151" s="288" t="s">
        <v>81</v>
      </c>
      <c r="M151" s="288">
        <v>5000</v>
      </c>
      <c r="N151" s="288">
        <v>9</v>
      </c>
      <c r="O151" s="288">
        <v>3.6227617798292067</v>
      </c>
      <c r="P151" s="288">
        <v>5.8828850291684018</v>
      </c>
      <c r="Q151" s="288">
        <v>0</v>
      </c>
      <c r="R151" s="288" t="s">
        <v>60</v>
      </c>
      <c r="S151" s="288">
        <v>6</v>
      </c>
      <c r="T151" s="288" t="s">
        <v>66</v>
      </c>
      <c r="V151" t="s">
        <v>25</v>
      </c>
      <c r="W151" t="s">
        <v>26</v>
      </c>
    </row>
    <row r="152" spans="1:23" x14ac:dyDescent="0.25">
      <c r="A152" t="s">
        <v>230</v>
      </c>
      <c r="B152" t="s">
        <v>205</v>
      </c>
      <c r="C152" s="285">
        <v>1</v>
      </c>
      <c r="D152">
        <v>174.28031635123199</v>
      </c>
      <c r="E152">
        <v>21805819.933566</v>
      </c>
      <c r="F152">
        <v>9330691.9116037395</v>
      </c>
      <c r="G152">
        <v>9330866.1919200905</v>
      </c>
      <c r="H152" s="1">
        <v>7.9923762042517793E-6</v>
      </c>
      <c r="I152">
        <v>7.9923762042517798E-4</v>
      </c>
      <c r="J152" s="1">
        <v>1.86778282708787E-5</v>
      </c>
      <c r="K152" s="286">
        <v>1.8677828270878701E-3</v>
      </c>
      <c r="L152" s="288" t="s">
        <v>28</v>
      </c>
      <c r="M152" s="288">
        <v>5000</v>
      </c>
      <c r="N152" s="288">
        <v>14</v>
      </c>
      <c r="O152" s="288">
        <v>3.3800816578606194</v>
      </c>
      <c r="P152" s="288">
        <v>4.2427955205749637</v>
      </c>
      <c r="Q152" s="288">
        <v>0</v>
      </c>
      <c r="R152" s="288" t="s">
        <v>60</v>
      </c>
      <c r="S152" s="288">
        <v>6</v>
      </c>
      <c r="T152" s="288" t="s">
        <v>66</v>
      </c>
      <c r="V152" t="s">
        <v>25</v>
      </c>
      <c r="W152" t="s">
        <v>31</v>
      </c>
    </row>
    <row r="153" spans="1:23" x14ac:dyDescent="0.25">
      <c r="A153" t="s">
        <v>231</v>
      </c>
      <c r="B153" t="s">
        <v>205</v>
      </c>
      <c r="C153" s="285">
        <v>1</v>
      </c>
      <c r="D153">
        <v>429.99015330903399</v>
      </c>
      <c r="E153">
        <v>29945959.491747301</v>
      </c>
      <c r="F153">
        <v>11358202.166962</v>
      </c>
      <c r="G153">
        <v>11358632.157115299</v>
      </c>
      <c r="H153" s="1">
        <v>1.4358870465564201E-5</v>
      </c>
      <c r="I153">
        <v>1.43588704655642E-3</v>
      </c>
      <c r="J153" s="1">
        <v>3.7855804058209197E-5</v>
      </c>
      <c r="K153" s="286">
        <v>3.78558040582092E-3</v>
      </c>
      <c r="L153" s="288" t="s">
        <v>28</v>
      </c>
      <c r="M153" s="288">
        <v>5000</v>
      </c>
      <c r="N153" s="288">
        <v>16</v>
      </c>
      <c r="O153" s="288">
        <v>3.4934212424552147</v>
      </c>
      <c r="P153" s="288">
        <v>6.4309150832017661</v>
      </c>
      <c r="Q153" s="288">
        <v>0</v>
      </c>
      <c r="R153" s="288" t="s">
        <v>60</v>
      </c>
      <c r="S153" s="288">
        <v>6</v>
      </c>
      <c r="T153" s="288" t="s">
        <v>66</v>
      </c>
      <c r="V153" t="s">
        <v>25</v>
      </c>
      <c r="W153" t="s">
        <v>31</v>
      </c>
    </row>
    <row r="154" spans="1:23" x14ac:dyDescent="0.25">
      <c r="A154" t="s">
        <v>232</v>
      </c>
      <c r="B154" t="s">
        <v>205</v>
      </c>
      <c r="C154" s="285">
        <v>1</v>
      </c>
      <c r="D154">
        <v>740.69128324461599</v>
      </c>
      <c r="E154">
        <v>38686246.713909701</v>
      </c>
      <c r="F154">
        <v>24362837.781477898</v>
      </c>
      <c r="G154">
        <v>24363578.472761098</v>
      </c>
      <c r="H154" s="1">
        <v>1.9146113830119798E-5</v>
      </c>
      <c r="I154">
        <v>1.9146113830119801E-3</v>
      </c>
      <c r="J154" s="1">
        <v>3.0401580132110701E-5</v>
      </c>
      <c r="K154" s="286">
        <v>3.0401580132110701E-3</v>
      </c>
      <c r="L154" s="288" t="s">
        <v>81</v>
      </c>
      <c r="M154" s="288">
        <v>5000</v>
      </c>
      <c r="N154" s="288">
        <v>28</v>
      </c>
      <c r="O154" s="288">
        <v>0</v>
      </c>
      <c r="P154" s="288">
        <v>5.9228872116415623</v>
      </c>
      <c r="Q154" s="288">
        <v>0</v>
      </c>
      <c r="R154" s="288" t="s">
        <v>60</v>
      </c>
      <c r="S154" s="288">
        <v>6</v>
      </c>
      <c r="T154" s="288" t="s">
        <v>66</v>
      </c>
      <c r="V154" t="s">
        <v>25</v>
      </c>
      <c r="W154" t="s">
        <v>31</v>
      </c>
    </row>
    <row r="155" spans="1:23" x14ac:dyDescent="0.25">
      <c r="A155" t="s">
        <v>233</v>
      </c>
      <c r="B155" t="s">
        <v>205</v>
      </c>
      <c r="C155" s="285">
        <v>0</v>
      </c>
      <c r="D155">
        <v>0</v>
      </c>
      <c r="E155">
        <v>24357291.267990898</v>
      </c>
      <c r="F155">
        <v>13509855.556001799</v>
      </c>
      <c r="G155">
        <v>13516058.7929995</v>
      </c>
      <c r="H155" s="1">
        <v>0</v>
      </c>
      <c r="I155">
        <v>0</v>
      </c>
      <c r="J155" s="1">
        <v>0</v>
      </c>
      <c r="K155" s="286">
        <v>0</v>
      </c>
      <c r="L155" s="288" t="s">
        <v>81</v>
      </c>
      <c r="M155" s="288">
        <v>5000</v>
      </c>
      <c r="N155" s="288">
        <v>17</v>
      </c>
      <c r="O155" s="288">
        <v>3.1747372787624943</v>
      </c>
      <c r="P155" s="288">
        <v>5.4655288807240598</v>
      </c>
      <c r="Q155" s="288">
        <v>0</v>
      </c>
      <c r="R155" s="288" t="s">
        <v>60</v>
      </c>
      <c r="S155" s="288">
        <v>6</v>
      </c>
      <c r="T155" s="288" t="s">
        <v>66</v>
      </c>
      <c r="V155" t="s">
        <v>25</v>
      </c>
      <c r="W155" t="s">
        <v>26</v>
      </c>
    </row>
    <row r="156" spans="1:23" x14ac:dyDescent="0.25">
      <c r="A156" t="s">
        <v>234</v>
      </c>
      <c r="B156" t="s">
        <v>205</v>
      </c>
      <c r="C156" s="285">
        <v>0</v>
      </c>
      <c r="D156">
        <v>0</v>
      </c>
      <c r="E156">
        <v>19043302.5410164</v>
      </c>
      <c r="F156">
        <v>10963233.748673899</v>
      </c>
      <c r="G156">
        <v>10963402.741371499</v>
      </c>
      <c r="H156" s="1">
        <v>0</v>
      </c>
      <c r="I156">
        <v>0</v>
      </c>
      <c r="J156" s="1">
        <v>0</v>
      </c>
      <c r="K156" s="286">
        <v>0</v>
      </c>
      <c r="L156" s="288" t="s">
        <v>81</v>
      </c>
      <c r="M156" s="288">
        <v>5000</v>
      </c>
      <c r="N156" s="288">
        <v>1</v>
      </c>
      <c r="O156" s="288">
        <v>0</v>
      </c>
      <c r="P156" s="288">
        <v>6.0802290916371842</v>
      </c>
      <c r="Q156" s="288">
        <v>0</v>
      </c>
      <c r="R156" s="288" t="s">
        <v>60</v>
      </c>
      <c r="S156" s="288">
        <v>6</v>
      </c>
      <c r="T156" s="288" t="s">
        <v>66</v>
      </c>
      <c r="V156" t="s">
        <v>25</v>
      </c>
      <c r="W156" t="s">
        <v>26</v>
      </c>
    </row>
    <row r="157" spans="1:23" x14ac:dyDescent="0.25">
      <c r="A157" t="s">
        <v>235</v>
      </c>
      <c r="B157" t="s">
        <v>205</v>
      </c>
      <c r="C157" s="285">
        <v>1</v>
      </c>
      <c r="D157">
        <v>786.58798827166595</v>
      </c>
      <c r="E157">
        <v>28056848.620194301</v>
      </c>
      <c r="F157">
        <v>13193816.595102901</v>
      </c>
      <c r="G157">
        <v>13194603.183091201</v>
      </c>
      <c r="H157" s="1">
        <v>2.8035507441327701E-5</v>
      </c>
      <c r="I157">
        <v>2.8035507441327699E-3</v>
      </c>
      <c r="J157" s="1">
        <v>5.9614372433698602E-5</v>
      </c>
      <c r="K157" s="286">
        <v>5.9614372433698598E-3</v>
      </c>
      <c r="L157" s="288" t="s">
        <v>81</v>
      </c>
      <c r="M157" s="288">
        <v>5000</v>
      </c>
      <c r="N157" s="288">
        <v>13</v>
      </c>
      <c r="O157" s="288">
        <v>0</v>
      </c>
      <c r="P157" s="288">
        <v>6.0188924776196613</v>
      </c>
      <c r="Q157" s="288">
        <v>0</v>
      </c>
      <c r="R157" s="288" t="s">
        <v>60</v>
      </c>
      <c r="S157" s="288">
        <v>6</v>
      </c>
      <c r="T157" s="288" t="s">
        <v>66</v>
      </c>
      <c r="V157" t="s">
        <v>25</v>
      </c>
      <c r="W157" t="s">
        <v>31</v>
      </c>
    </row>
    <row r="158" spans="1:23" x14ac:dyDescent="0.25">
      <c r="A158" t="s">
        <v>236</v>
      </c>
      <c r="B158" t="s">
        <v>205</v>
      </c>
      <c r="C158" s="285">
        <v>1</v>
      </c>
      <c r="D158">
        <v>5475.4477602872903</v>
      </c>
      <c r="E158">
        <v>23491869.700150501</v>
      </c>
      <c r="F158">
        <v>12852531.133434899</v>
      </c>
      <c r="G158">
        <v>12858006.581195099</v>
      </c>
      <c r="H158">
        <v>2.33078415220913E-4</v>
      </c>
      <c r="I158">
        <v>2.33078415220913E-2</v>
      </c>
      <c r="J158">
        <v>4.2583955185519301E-4</v>
      </c>
      <c r="K158" s="286">
        <v>4.2583955185519301E-2</v>
      </c>
      <c r="L158" s="288" t="s">
        <v>28</v>
      </c>
      <c r="M158" s="288">
        <v>5000</v>
      </c>
      <c r="N158" s="288">
        <v>14</v>
      </c>
      <c r="O158" s="288">
        <v>3.0213955606413756</v>
      </c>
      <c r="P158" s="288">
        <v>6.029559651628337</v>
      </c>
      <c r="Q158" s="288">
        <v>0</v>
      </c>
      <c r="R158" s="288" t="s">
        <v>60</v>
      </c>
      <c r="S158" s="288">
        <v>6</v>
      </c>
      <c r="T158" s="288" t="s">
        <v>66</v>
      </c>
      <c r="V158" t="s">
        <v>25</v>
      </c>
      <c r="W158" t="s">
        <v>31</v>
      </c>
    </row>
    <row r="159" spans="1:23" x14ac:dyDescent="0.25">
      <c r="A159" t="s">
        <v>237</v>
      </c>
      <c r="B159" t="s">
        <v>205</v>
      </c>
      <c r="C159" s="285">
        <v>1</v>
      </c>
      <c r="D159">
        <v>376.47933061683</v>
      </c>
      <c r="E159">
        <v>19060394.704447899</v>
      </c>
      <c r="F159">
        <v>9547300.7236117907</v>
      </c>
      <c r="G159">
        <v>9547677.2029423993</v>
      </c>
      <c r="H159" s="1">
        <v>1.97519168125608E-5</v>
      </c>
      <c r="I159">
        <v>1.97519168125608E-3</v>
      </c>
      <c r="J159" s="1">
        <v>3.9431510158387603E-5</v>
      </c>
      <c r="K159" s="286">
        <v>3.9431510158387702E-3</v>
      </c>
      <c r="L159" s="288" t="s">
        <v>28</v>
      </c>
      <c r="M159" s="288">
        <v>5000</v>
      </c>
      <c r="N159" s="288">
        <v>5</v>
      </c>
      <c r="O159" s="288">
        <v>6.0175590184559553</v>
      </c>
      <c r="P159" s="288">
        <v>6.6669277461982199</v>
      </c>
      <c r="Q159" s="288">
        <v>0</v>
      </c>
      <c r="R159" s="288" t="s">
        <v>60</v>
      </c>
      <c r="S159" s="288">
        <v>6</v>
      </c>
      <c r="T159" s="288" t="s">
        <v>66</v>
      </c>
      <c r="V159" t="s">
        <v>25</v>
      </c>
      <c r="W159" t="s">
        <v>31</v>
      </c>
    </row>
    <row r="160" spans="1:23" x14ac:dyDescent="0.25">
      <c r="A160" t="s">
        <v>238</v>
      </c>
      <c r="B160" t="s">
        <v>205</v>
      </c>
      <c r="C160" s="285">
        <v>0</v>
      </c>
      <c r="D160">
        <v>0</v>
      </c>
      <c r="E160">
        <v>22588134.3619317</v>
      </c>
      <c r="F160">
        <v>10474898.468703</v>
      </c>
      <c r="G160">
        <v>10475718.262941999</v>
      </c>
      <c r="H160" s="1">
        <v>0</v>
      </c>
      <c r="I160">
        <v>0</v>
      </c>
      <c r="J160" s="1">
        <v>0</v>
      </c>
      <c r="K160" s="286">
        <v>0</v>
      </c>
      <c r="L160" s="288" t="s">
        <v>28</v>
      </c>
      <c r="M160" s="288">
        <v>5000</v>
      </c>
      <c r="N160" s="288">
        <v>2</v>
      </c>
      <c r="O160" s="288">
        <v>3.6947655512083077</v>
      </c>
      <c r="P160" s="288">
        <v>5.1801800295141982</v>
      </c>
      <c r="Q160" s="288">
        <v>0</v>
      </c>
      <c r="R160" s="288" t="s">
        <v>60</v>
      </c>
      <c r="S160" s="288">
        <v>6</v>
      </c>
      <c r="T160" s="288" t="s">
        <v>66</v>
      </c>
      <c r="V160" t="s">
        <v>25</v>
      </c>
      <c r="W160" t="s">
        <v>26</v>
      </c>
    </row>
    <row r="161" spans="1:23" x14ac:dyDescent="0.25">
      <c r="A161" t="s">
        <v>239</v>
      </c>
      <c r="B161" t="s">
        <v>205</v>
      </c>
      <c r="C161" s="285">
        <v>1</v>
      </c>
      <c r="D161">
        <v>1695.4258318877701</v>
      </c>
      <c r="E161">
        <v>21927764.616094202</v>
      </c>
      <c r="F161">
        <v>8972392.1057503</v>
      </c>
      <c r="G161">
        <v>8974087.5315821897</v>
      </c>
      <c r="H161" s="1">
        <v>7.7318680748852194E-5</v>
      </c>
      <c r="I161">
        <v>7.7318680748852198E-3</v>
      </c>
      <c r="J161">
        <v>1.8892459271442499E-4</v>
      </c>
      <c r="K161" s="286">
        <v>1.8892459271442501E-2</v>
      </c>
      <c r="L161" s="288" t="s">
        <v>81</v>
      </c>
      <c r="M161" s="288">
        <v>5000</v>
      </c>
      <c r="N161" s="288">
        <v>6</v>
      </c>
      <c r="O161" s="288">
        <v>5.1295105959579228</v>
      </c>
      <c r="P161" s="288">
        <v>4.4628075391190087</v>
      </c>
      <c r="Q161" s="288">
        <v>0</v>
      </c>
      <c r="R161" s="288" t="s">
        <v>60</v>
      </c>
      <c r="S161" s="288">
        <v>6</v>
      </c>
      <c r="T161" s="288" t="s">
        <v>66</v>
      </c>
      <c r="V161" t="s">
        <v>25</v>
      </c>
      <c r="W161" t="s">
        <v>31</v>
      </c>
    </row>
    <row r="162" spans="1:23" x14ac:dyDescent="0.25">
      <c r="A162" t="s">
        <v>240</v>
      </c>
      <c r="B162" t="s">
        <v>205</v>
      </c>
      <c r="C162" s="285">
        <v>0</v>
      </c>
      <c r="D162">
        <v>0</v>
      </c>
      <c r="E162">
        <v>28312917.065855499</v>
      </c>
      <c r="F162">
        <v>11988826.1076815</v>
      </c>
      <c r="G162">
        <v>11989008.213704901</v>
      </c>
      <c r="H162" s="1">
        <v>0</v>
      </c>
      <c r="I162">
        <v>0</v>
      </c>
      <c r="J162" s="1">
        <v>0</v>
      </c>
      <c r="K162" s="286">
        <v>0</v>
      </c>
      <c r="L162" s="288" t="s">
        <v>81</v>
      </c>
      <c r="M162" s="288">
        <v>5000</v>
      </c>
      <c r="N162" s="288">
        <v>10</v>
      </c>
      <c r="O162" s="288">
        <v>4.938833524636066</v>
      </c>
      <c r="P162" s="288">
        <v>6.4815842169535349</v>
      </c>
      <c r="Q162" s="288">
        <v>0</v>
      </c>
      <c r="R162" s="288" t="s">
        <v>60</v>
      </c>
      <c r="S162" s="288">
        <v>6</v>
      </c>
      <c r="T162" s="288" t="s">
        <v>66</v>
      </c>
      <c r="V162" t="s">
        <v>25</v>
      </c>
      <c r="W162" t="s">
        <v>26</v>
      </c>
    </row>
    <row r="163" spans="1:23" x14ac:dyDescent="0.25">
      <c r="A163" t="s">
        <v>241</v>
      </c>
      <c r="B163" t="s">
        <v>205</v>
      </c>
      <c r="C163" s="285">
        <v>1</v>
      </c>
      <c r="D163">
        <v>1292.08546152044</v>
      </c>
      <c r="E163">
        <v>34213741.128193803</v>
      </c>
      <c r="F163">
        <v>14015832.640499899</v>
      </c>
      <c r="G163">
        <v>14017124.7259614</v>
      </c>
      <c r="H163" s="1">
        <v>3.7765103111033399E-5</v>
      </c>
      <c r="I163">
        <v>3.77651031110334E-3</v>
      </c>
      <c r="J163" s="1">
        <v>9.2179065734311602E-5</v>
      </c>
      <c r="K163" s="286">
        <v>9.2179065734311599E-3</v>
      </c>
      <c r="L163" s="288" t="s">
        <v>81</v>
      </c>
      <c r="M163" s="288">
        <v>5000</v>
      </c>
      <c r="N163" s="288">
        <v>13</v>
      </c>
      <c r="O163" s="288">
        <v>3.5320900756330924</v>
      </c>
      <c r="P163" s="288">
        <v>6.8189361562049244</v>
      </c>
      <c r="Q163" s="288">
        <v>0</v>
      </c>
      <c r="R163" s="288" t="s">
        <v>60</v>
      </c>
      <c r="S163" s="288">
        <v>6</v>
      </c>
      <c r="T163" s="288" t="s">
        <v>66</v>
      </c>
      <c r="V163" t="s">
        <v>25</v>
      </c>
      <c r="W163" t="s">
        <v>31</v>
      </c>
    </row>
    <row r="164" spans="1:23" x14ac:dyDescent="0.25">
      <c r="A164" t="s">
        <v>242</v>
      </c>
      <c r="B164" t="s">
        <v>243</v>
      </c>
      <c r="C164" s="285">
        <v>1</v>
      </c>
      <c r="D164">
        <v>417.72282685073901</v>
      </c>
      <c r="E164">
        <v>17700080.7214555</v>
      </c>
      <c r="F164">
        <v>8060964.9018799104</v>
      </c>
      <c r="G164">
        <v>8061382.62470676</v>
      </c>
      <c r="H164" s="1">
        <v>2.3600052080236399E-5</v>
      </c>
      <c r="I164">
        <v>2.3600052080236401E-3</v>
      </c>
      <c r="J164" s="1">
        <v>5.1817764556974401E-5</v>
      </c>
      <c r="K164" s="286">
        <v>5.1817764556974398E-3</v>
      </c>
      <c r="L164" s="288" t="s">
        <v>28</v>
      </c>
      <c r="M164" s="288">
        <v>5000</v>
      </c>
      <c r="N164" s="288">
        <v>4</v>
      </c>
      <c r="O164" s="288">
        <v>0</v>
      </c>
      <c r="P164" s="288">
        <v>0</v>
      </c>
      <c r="Q164" s="288">
        <v>0</v>
      </c>
      <c r="R164" s="288" t="s">
        <v>60</v>
      </c>
      <c r="S164" s="288">
        <v>6</v>
      </c>
      <c r="T164" s="288" t="s">
        <v>66</v>
      </c>
      <c r="V164" t="s">
        <v>25</v>
      </c>
      <c r="W164" t="s">
        <v>31</v>
      </c>
    </row>
    <row r="165" spans="1:23" x14ac:dyDescent="0.25">
      <c r="A165" t="s">
        <v>244</v>
      </c>
      <c r="B165" t="s">
        <v>243</v>
      </c>
      <c r="C165" s="285">
        <v>0</v>
      </c>
      <c r="D165">
        <v>0</v>
      </c>
      <c r="E165">
        <v>20546466.0670554</v>
      </c>
      <c r="F165">
        <v>10977375.861915801</v>
      </c>
      <c r="G165">
        <v>10977690.1587053</v>
      </c>
      <c r="H165" s="1">
        <v>0</v>
      </c>
      <c r="I165">
        <v>0</v>
      </c>
      <c r="J165" s="1">
        <v>0</v>
      </c>
      <c r="K165" s="286">
        <v>0</v>
      </c>
      <c r="L165" s="288" t="s">
        <v>28</v>
      </c>
      <c r="M165" s="288">
        <v>5000</v>
      </c>
      <c r="N165" s="288">
        <v>6</v>
      </c>
      <c r="O165" s="288">
        <v>0</v>
      </c>
      <c r="P165" s="288">
        <v>0</v>
      </c>
      <c r="Q165" s="288">
        <v>0</v>
      </c>
      <c r="R165" s="288" t="s">
        <v>60</v>
      </c>
      <c r="S165" s="288">
        <v>6</v>
      </c>
      <c r="T165" s="288" t="s">
        <v>66</v>
      </c>
      <c r="V165" t="s">
        <v>25</v>
      </c>
      <c r="W165" t="s">
        <v>26</v>
      </c>
    </row>
    <row r="166" spans="1:23" x14ac:dyDescent="0.25">
      <c r="A166" t="s">
        <v>245</v>
      </c>
      <c r="B166" t="s">
        <v>243</v>
      </c>
      <c r="C166" s="285">
        <v>0</v>
      </c>
      <c r="D166">
        <v>0</v>
      </c>
      <c r="E166">
        <v>11280468.1819875</v>
      </c>
      <c r="F166">
        <v>5588366.4479445703</v>
      </c>
      <c r="G166">
        <v>5588383.3683642698</v>
      </c>
      <c r="H166" s="1">
        <v>0</v>
      </c>
      <c r="I166">
        <v>0</v>
      </c>
      <c r="J166" s="1">
        <v>0</v>
      </c>
      <c r="K166" s="286">
        <v>0</v>
      </c>
      <c r="L166" s="288" t="s">
        <v>28</v>
      </c>
      <c r="M166" s="288">
        <v>5000</v>
      </c>
      <c r="N166" s="288">
        <v>0</v>
      </c>
      <c r="O166" s="288">
        <v>0</v>
      </c>
      <c r="P166" s="288">
        <v>0</v>
      </c>
      <c r="Q166" s="288">
        <v>0</v>
      </c>
      <c r="R166" s="288" t="s">
        <v>60</v>
      </c>
      <c r="S166" s="288">
        <v>6</v>
      </c>
      <c r="T166" s="288" t="s">
        <v>66</v>
      </c>
      <c r="V166" t="s">
        <v>25</v>
      </c>
      <c r="W166" t="s">
        <v>26</v>
      </c>
    </row>
    <row r="167" spans="1:23" x14ac:dyDescent="0.25">
      <c r="A167" t="s">
        <v>246</v>
      </c>
      <c r="B167" t="s">
        <v>243</v>
      </c>
      <c r="C167" s="285">
        <v>1</v>
      </c>
      <c r="D167">
        <v>479.48236525887199</v>
      </c>
      <c r="E167">
        <v>17126749.470623001</v>
      </c>
      <c r="F167">
        <v>9737873.55718063</v>
      </c>
      <c r="G167">
        <v>9738353.0395458899</v>
      </c>
      <c r="H167" s="1">
        <v>2.7996110183155901E-5</v>
      </c>
      <c r="I167">
        <v>2.79961101831559E-3</v>
      </c>
      <c r="J167" s="1">
        <v>4.9236494437177501E-5</v>
      </c>
      <c r="K167" s="286">
        <v>4.9236494437177496E-3</v>
      </c>
      <c r="L167" s="288" t="s">
        <v>28</v>
      </c>
      <c r="M167" s="288">
        <v>5000</v>
      </c>
      <c r="N167" s="288">
        <v>2</v>
      </c>
      <c r="O167" s="288">
        <v>0</v>
      </c>
      <c r="P167" s="288">
        <v>0</v>
      </c>
      <c r="Q167" s="288">
        <v>0</v>
      </c>
      <c r="R167" s="288" t="s">
        <v>60</v>
      </c>
      <c r="S167" s="288">
        <v>6</v>
      </c>
      <c r="T167" s="288" t="s">
        <v>66</v>
      </c>
      <c r="V167" t="s">
        <v>25</v>
      </c>
      <c r="W167" t="s">
        <v>31</v>
      </c>
    </row>
    <row r="168" spans="1:23" x14ac:dyDescent="0.25">
      <c r="A168" t="s">
        <v>247</v>
      </c>
      <c r="B168" t="s">
        <v>243</v>
      </c>
      <c r="C168" s="285">
        <v>1</v>
      </c>
      <c r="D168">
        <v>2206.4227648339402</v>
      </c>
      <c r="E168">
        <v>30365719.655217201</v>
      </c>
      <c r="F168">
        <v>12829360.013477501</v>
      </c>
      <c r="G168">
        <v>12831566.4362424</v>
      </c>
      <c r="H168" s="1">
        <v>7.2661632587220902E-5</v>
      </c>
      <c r="I168">
        <v>7.2661632587220897E-3</v>
      </c>
      <c r="J168">
        <v>1.7195272111142701E-4</v>
      </c>
      <c r="K168" s="286">
        <v>1.71952721111427E-2</v>
      </c>
      <c r="L168" s="288" t="s">
        <v>28</v>
      </c>
      <c r="M168" s="288">
        <v>5000</v>
      </c>
      <c r="N168" s="288">
        <v>13</v>
      </c>
      <c r="O168" s="288">
        <v>0</v>
      </c>
      <c r="P168" s="288">
        <v>0</v>
      </c>
      <c r="Q168" s="288">
        <v>0</v>
      </c>
      <c r="R168" s="288" t="s">
        <v>60</v>
      </c>
      <c r="S168" s="288">
        <v>6</v>
      </c>
      <c r="T168" s="288" t="s">
        <v>66</v>
      </c>
      <c r="V168" t="s">
        <v>25</v>
      </c>
      <c r="W168" t="s">
        <v>31</v>
      </c>
    </row>
    <row r="169" spans="1:23" x14ac:dyDescent="0.25">
      <c r="A169" t="s">
        <v>248</v>
      </c>
      <c r="B169" t="s">
        <v>243</v>
      </c>
      <c r="C169" s="285">
        <v>0</v>
      </c>
      <c r="D169">
        <v>0</v>
      </c>
      <c r="E169">
        <v>19806012.947912801</v>
      </c>
      <c r="F169">
        <v>8924594.2398977298</v>
      </c>
      <c r="G169">
        <v>8924690.0517706797</v>
      </c>
      <c r="H169" s="1">
        <v>0</v>
      </c>
      <c r="I169">
        <v>0</v>
      </c>
      <c r="J169" s="1">
        <v>0</v>
      </c>
      <c r="K169" s="286">
        <v>0</v>
      </c>
      <c r="L169" s="288" t="s">
        <v>28</v>
      </c>
      <c r="M169" s="288">
        <v>5000</v>
      </c>
      <c r="N169" s="288">
        <v>0</v>
      </c>
      <c r="O169" s="288">
        <v>0</v>
      </c>
      <c r="P169" s="288">
        <v>0</v>
      </c>
      <c r="Q169" s="288">
        <v>0</v>
      </c>
      <c r="R169" s="288" t="s">
        <v>60</v>
      </c>
      <c r="S169" s="288">
        <v>6</v>
      </c>
      <c r="T169" s="288" t="s">
        <v>66</v>
      </c>
      <c r="V169" t="s">
        <v>25</v>
      </c>
      <c r="W169" t="s">
        <v>26</v>
      </c>
    </row>
    <row r="170" spans="1:23" x14ac:dyDescent="0.25">
      <c r="A170" t="s">
        <v>249</v>
      </c>
      <c r="B170" t="s">
        <v>243</v>
      </c>
      <c r="C170" s="285">
        <v>0</v>
      </c>
      <c r="D170">
        <v>0</v>
      </c>
      <c r="E170">
        <v>15567776.311801</v>
      </c>
      <c r="F170">
        <v>8065153.5109939501</v>
      </c>
      <c r="G170">
        <v>8065452.5793781104</v>
      </c>
      <c r="H170" s="1">
        <v>0</v>
      </c>
      <c r="I170">
        <v>0</v>
      </c>
      <c r="J170" s="1">
        <v>0</v>
      </c>
      <c r="K170" s="286">
        <v>0</v>
      </c>
      <c r="L170" s="288" t="s">
        <v>28</v>
      </c>
      <c r="M170" s="288">
        <v>5000</v>
      </c>
      <c r="N170" s="288">
        <v>0</v>
      </c>
      <c r="O170" s="288">
        <v>0</v>
      </c>
      <c r="P170" s="288">
        <v>0</v>
      </c>
      <c r="Q170" s="288">
        <v>0</v>
      </c>
      <c r="R170" s="288" t="s">
        <v>60</v>
      </c>
      <c r="S170" s="288">
        <v>6</v>
      </c>
      <c r="T170" s="288" t="s">
        <v>66</v>
      </c>
      <c r="V170" t="s">
        <v>25</v>
      </c>
      <c r="W170" t="s">
        <v>26</v>
      </c>
    </row>
    <row r="171" spans="1:23" x14ac:dyDescent="0.25">
      <c r="A171" t="s">
        <v>250</v>
      </c>
      <c r="B171" t="s">
        <v>243</v>
      </c>
      <c r="C171" s="285">
        <v>1</v>
      </c>
      <c r="D171">
        <v>600.04038863026301</v>
      </c>
      <c r="E171">
        <v>21701117.167103302</v>
      </c>
      <c r="F171">
        <v>9976005.4277647492</v>
      </c>
      <c r="G171">
        <v>9976605.4681533799</v>
      </c>
      <c r="H171" s="1">
        <v>2.76502073146659E-5</v>
      </c>
      <c r="I171">
        <v>2.76502073146659E-3</v>
      </c>
      <c r="J171" s="1">
        <v>6.01447446775028E-5</v>
      </c>
      <c r="K171" s="286">
        <v>6.01447446775028E-3</v>
      </c>
      <c r="L171" s="288" t="s">
        <v>28</v>
      </c>
      <c r="M171" s="288">
        <v>5000</v>
      </c>
      <c r="N171" s="288">
        <v>9</v>
      </c>
      <c r="O171" s="288">
        <v>0</v>
      </c>
      <c r="P171" s="288">
        <v>0</v>
      </c>
      <c r="Q171" s="288">
        <v>0</v>
      </c>
      <c r="R171" s="288" t="s">
        <v>60</v>
      </c>
      <c r="S171" s="288">
        <v>6</v>
      </c>
      <c r="T171" s="288" t="s">
        <v>66</v>
      </c>
      <c r="V171" t="s">
        <v>25</v>
      </c>
      <c r="W171" t="s">
        <v>31</v>
      </c>
    </row>
    <row r="172" spans="1:23" x14ac:dyDescent="0.25">
      <c r="A172" t="s">
        <v>251</v>
      </c>
      <c r="B172" t="s">
        <v>243</v>
      </c>
      <c r="C172" s="285">
        <v>1</v>
      </c>
      <c r="D172">
        <v>1091.3671088071501</v>
      </c>
      <c r="E172">
        <v>24706179.311974298</v>
      </c>
      <c r="F172">
        <v>11870931.598763101</v>
      </c>
      <c r="G172">
        <v>11872022.965872001</v>
      </c>
      <c r="H172" s="1">
        <v>4.4173852015969101E-5</v>
      </c>
      <c r="I172">
        <v>4.4173852015969104E-3</v>
      </c>
      <c r="J172" s="1">
        <v>9.1927644677277005E-5</v>
      </c>
      <c r="K172" s="286">
        <v>9.1927644677276994E-3</v>
      </c>
      <c r="L172" s="288" t="s">
        <v>28</v>
      </c>
      <c r="M172" s="288">
        <v>5000</v>
      </c>
      <c r="N172" s="288">
        <v>6</v>
      </c>
      <c r="O172" s="288">
        <v>0</v>
      </c>
      <c r="P172" s="288">
        <v>0</v>
      </c>
      <c r="Q172" s="288">
        <v>0</v>
      </c>
      <c r="R172" s="288" t="s">
        <v>60</v>
      </c>
      <c r="S172" s="288">
        <v>6</v>
      </c>
      <c r="T172" s="288" t="s">
        <v>66</v>
      </c>
      <c r="V172" t="s">
        <v>25</v>
      </c>
      <c r="W172" t="s">
        <v>31</v>
      </c>
    </row>
    <row r="173" spans="1:23" x14ac:dyDescent="0.25">
      <c r="A173" t="s">
        <v>252</v>
      </c>
      <c r="B173" t="s">
        <v>243</v>
      </c>
      <c r="C173" s="285">
        <v>1</v>
      </c>
      <c r="D173">
        <v>240.69296117439501</v>
      </c>
      <c r="E173">
        <v>18182811.978054099</v>
      </c>
      <c r="F173">
        <v>9099888.3008560892</v>
      </c>
      <c r="G173">
        <v>9100128.9938172605</v>
      </c>
      <c r="H173" s="1">
        <v>1.3237389324869E-5</v>
      </c>
      <c r="I173">
        <v>1.3237389324869001E-3</v>
      </c>
      <c r="J173" s="1">
        <v>2.6449401029142E-5</v>
      </c>
      <c r="K173" s="286">
        <v>2.6449401029141999E-3</v>
      </c>
      <c r="L173" s="288" t="s">
        <v>28</v>
      </c>
      <c r="M173" s="288">
        <v>5000</v>
      </c>
      <c r="N173" s="288">
        <v>6</v>
      </c>
      <c r="O173" s="288">
        <v>0</v>
      </c>
      <c r="P173" s="288">
        <v>0</v>
      </c>
      <c r="Q173" s="288">
        <v>0</v>
      </c>
      <c r="R173" s="288" t="s">
        <v>60</v>
      </c>
      <c r="S173" s="288">
        <v>6</v>
      </c>
      <c r="T173" s="288" t="s">
        <v>66</v>
      </c>
      <c r="V173" t="s">
        <v>25</v>
      </c>
      <c r="W173" t="s">
        <v>31</v>
      </c>
    </row>
    <row r="174" spans="1:23" x14ac:dyDescent="0.25">
      <c r="A174" t="s">
        <v>253</v>
      </c>
      <c r="B174" t="s">
        <v>243</v>
      </c>
      <c r="C174" s="285">
        <v>0</v>
      </c>
      <c r="D174">
        <v>0</v>
      </c>
      <c r="E174">
        <v>26747130.8001136</v>
      </c>
      <c r="F174">
        <v>14115206.898502801</v>
      </c>
      <c r="G174">
        <v>14125246.628702801</v>
      </c>
      <c r="H174" s="1">
        <v>0</v>
      </c>
      <c r="I174">
        <v>0</v>
      </c>
      <c r="J174" s="1">
        <v>0</v>
      </c>
      <c r="K174" s="286">
        <v>0</v>
      </c>
      <c r="L174" s="288" t="s">
        <v>28</v>
      </c>
      <c r="M174" s="288">
        <v>5000</v>
      </c>
      <c r="N174" s="288">
        <v>6</v>
      </c>
      <c r="O174" s="288">
        <v>0</v>
      </c>
      <c r="P174" s="288">
        <v>0</v>
      </c>
      <c r="Q174" s="288">
        <v>0</v>
      </c>
      <c r="R174" s="288" t="s">
        <v>60</v>
      </c>
      <c r="S174" s="288">
        <v>6</v>
      </c>
      <c r="T174" s="288" t="s">
        <v>66</v>
      </c>
      <c r="V174" t="s">
        <v>25</v>
      </c>
      <c r="W174" t="s">
        <v>26</v>
      </c>
    </row>
    <row r="175" spans="1:23" x14ac:dyDescent="0.25">
      <c r="A175" t="s">
        <v>254</v>
      </c>
      <c r="B175" t="s">
        <v>243</v>
      </c>
      <c r="C175" s="285">
        <v>1</v>
      </c>
      <c r="D175">
        <v>3035.9461705557901</v>
      </c>
      <c r="E175">
        <v>23463502.025895599</v>
      </c>
      <c r="F175">
        <v>10284186.8577572</v>
      </c>
      <c r="G175">
        <v>10287222.8039278</v>
      </c>
      <c r="H175">
        <v>1.2939015528053499E-4</v>
      </c>
      <c r="I175">
        <v>1.29390155280535E-2</v>
      </c>
      <c r="J175">
        <v>2.9511815077987998E-4</v>
      </c>
      <c r="K175" s="286">
        <v>2.9511815077987998E-2</v>
      </c>
      <c r="L175" s="288" t="s">
        <v>28</v>
      </c>
      <c r="M175" s="288">
        <v>5000</v>
      </c>
      <c r="N175" s="288">
        <v>10</v>
      </c>
      <c r="O175" s="288">
        <v>0</v>
      </c>
      <c r="P175" s="288">
        <v>0</v>
      </c>
      <c r="Q175" s="288">
        <v>0</v>
      </c>
      <c r="R175" s="288" t="s">
        <v>60</v>
      </c>
      <c r="S175" s="288">
        <v>6</v>
      </c>
      <c r="T175" s="288" t="s">
        <v>66</v>
      </c>
      <c r="V175" t="s">
        <v>25</v>
      </c>
      <c r="W175" t="s">
        <v>31</v>
      </c>
    </row>
    <row r="176" spans="1:23" x14ac:dyDescent="0.25">
      <c r="A176" t="s">
        <v>255</v>
      </c>
      <c r="B176" t="s">
        <v>243</v>
      </c>
      <c r="C176" s="285">
        <v>0</v>
      </c>
      <c r="D176">
        <v>0</v>
      </c>
      <c r="E176">
        <v>27703714.381560002</v>
      </c>
      <c r="F176">
        <v>11620862.9183862</v>
      </c>
      <c r="G176">
        <v>11621524.9297523</v>
      </c>
      <c r="H176" s="1">
        <v>0</v>
      </c>
      <c r="I176">
        <v>0</v>
      </c>
      <c r="J176" s="1">
        <v>0</v>
      </c>
      <c r="K176" s="286">
        <v>0</v>
      </c>
      <c r="L176" s="288" t="s">
        <v>28</v>
      </c>
      <c r="M176" s="288">
        <v>5000</v>
      </c>
      <c r="N176" s="288">
        <v>6</v>
      </c>
      <c r="O176" s="288">
        <v>0</v>
      </c>
      <c r="P176" s="288">
        <v>0</v>
      </c>
      <c r="Q176" s="288">
        <v>0</v>
      </c>
      <c r="R176" s="288" t="s">
        <v>60</v>
      </c>
      <c r="S176" s="288">
        <v>6</v>
      </c>
      <c r="T176" s="288" t="s">
        <v>66</v>
      </c>
      <c r="V176" t="s">
        <v>25</v>
      </c>
      <c r="W176" t="s">
        <v>26</v>
      </c>
    </row>
    <row r="177" spans="1:23" x14ac:dyDescent="0.25">
      <c r="A177" t="s">
        <v>256</v>
      </c>
      <c r="B177" t="s">
        <v>243</v>
      </c>
      <c r="C177" s="285">
        <v>4</v>
      </c>
      <c r="D177">
        <v>4572261.0636879699</v>
      </c>
      <c r="E177">
        <v>18699912.181525499</v>
      </c>
      <c r="F177">
        <v>7774410.55434277</v>
      </c>
      <c r="G177">
        <v>12346671.618030701</v>
      </c>
      <c r="H177">
        <v>0.24450708748274699</v>
      </c>
      <c r="I177">
        <v>24.4507087482747</v>
      </c>
      <c r="J177">
        <v>0.37032337176691099</v>
      </c>
      <c r="K177" s="286">
        <v>37.032337176691101</v>
      </c>
      <c r="L177" s="288" t="s">
        <v>28</v>
      </c>
      <c r="M177" s="288">
        <v>5000</v>
      </c>
      <c r="N177" s="288">
        <v>30</v>
      </c>
      <c r="O177" s="288">
        <v>5.9187643452028178</v>
      </c>
      <c r="P177" s="288">
        <v>9.7964932249582581</v>
      </c>
      <c r="Q177" s="288">
        <v>4.1575773081677916</v>
      </c>
      <c r="R177" s="288" t="s">
        <v>29</v>
      </c>
      <c r="S177" s="288">
        <v>6</v>
      </c>
      <c r="T177" s="288" t="s">
        <v>66</v>
      </c>
      <c r="V177" t="s">
        <v>25</v>
      </c>
      <c r="W177" t="s">
        <v>31</v>
      </c>
    </row>
    <row r="178" spans="1:23" x14ac:dyDescent="0.25">
      <c r="A178" t="s">
        <v>257</v>
      </c>
      <c r="B178" t="s">
        <v>243</v>
      </c>
      <c r="C178" s="285">
        <v>4</v>
      </c>
      <c r="D178">
        <v>5613471.4861616297</v>
      </c>
      <c r="E178">
        <v>20164586.7883038</v>
      </c>
      <c r="F178">
        <v>8407599.40151201</v>
      </c>
      <c r="G178">
        <v>14021070.8876736</v>
      </c>
      <c r="H178">
        <v>0.27838266883889901</v>
      </c>
      <c r="I178">
        <v>27.838266883889901</v>
      </c>
      <c r="J178">
        <v>0.40035968230476598</v>
      </c>
      <c r="K178" s="286">
        <v>40.035968230476598</v>
      </c>
      <c r="L178" s="288" t="s">
        <v>28</v>
      </c>
      <c r="M178" s="288">
        <v>5000</v>
      </c>
      <c r="N178" s="288">
        <v>33</v>
      </c>
      <c r="O178" s="288">
        <v>7.1324718526872237</v>
      </c>
      <c r="P178" s="288">
        <v>9.6517746674899279</v>
      </c>
      <c r="Q178" s="288">
        <v>4.4909106480119796</v>
      </c>
      <c r="R178" s="288" t="s">
        <v>29</v>
      </c>
      <c r="S178" s="288">
        <v>6</v>
      </c>
      <c r="T178" s="288" t="s">
        <v>66</v>
      </c>
      <c r="V178" t="s">
        <v>25</v>
      </c>
      <c r="W178" t="s">
        <v>31</v>
      </c>
    </row>
    <row r="179" spans="1:23" x14ac:dyDescent="0.25">
      <c r="A179" t="s">
        <v>258</v>
      </c>
      <c r="B179" t="s">
        <v>243</v>
      </c>
      <c r="C179" s="285">
        <v>0</v>
      </c>
      <c r="D179">
        <v>0</v>
      </c>
      <c r="E179">
        <v>16792377.809961502</v>
      </c>
      <c r="F179">
        <v>8130205.1948969001</v>
      </c>
      <c r="G179">
        <v>8130340.5582545204</v>
      </c>
      <c r="H179" s="1">
        <v>0</v>
      </c>
      <c r="I179">
        <v>0</v>
      </c>
      <c r="J179" s="1">
        <v>0</v>
      </c>
      <c r="K179" s="286">
        <v>0</v>
      </c>
      <c r="L179" s="288" t="s">
        <v>28</v>
      </c>
      <c r="M179" s="288">
        <v>5000</v>
      </c>
      <c r="N179" s="288">
        <v>7</v>
      </c>
      <c r="O179" s="288">
        <v>6.454352075357245</v>
      </c>
      <c r="P179" s="288">
        <v>8.1804504133815676</v>
      </c>
      <c r="R179" s="288" t="s">
        <v>29</v>
      </c>
      <c r="S179" s="288">
        <v>6</v>
      </c>
      <c r="T179" s="288" t="s">
        <v>66</v>
      </c>
      <c r="V179" t="s">
        <v>25</v>
      </c>
      <c r="W179" t="s">
        <v>26</v>
      </c>
    </row>
    <row r="180" spans="1:23" x14ac:dyDescent="0.25">
      <c r="A180" t="s">
        <v>259</v>
      </c>
      <c r="B180" t="s">
        <v>260</v>
      </c>
      <c r="C180" s="285">
        <v>0</v>
      </c>
      <c r="D180">
        <v>0</v>
      </c>
      <c r="E180">
        <v>17351134.085894801</v>
      </c>
      <c r="F180">
        <v>9819703.8723953292</v>
      </c>
      <c r="G180">
        <v>9820900.3574001603</v>
      </c>
      <c r="H180" s="1">
        <v>0</v>
      </c>
      <c r="I180">
        <v>0</v>
      </c>
      <c r="J180" s="1">
        <v>0</v>
      </c>
      <c r="K180" s="286">
        <v>0</v>
      </c>
      <c r="L180" s="288" t="s">
        <v>28</v>
      </c>
      <c r="M180" s="288">
        <v>5000</v>
      </c>
      <c r="N180" s="288">
        <v>3</v>
      </c>
      <c r="O180" s="288">
        <v>5.3250532096823804</v>
      </c>
      <c r="P180" s="288">
        <v>0</v>
      </c>
      <c r="Q180" s="288">
        <v>0</v>
      </c>
      <c r="R180" s="288" t="s">
        <v>60</v>
      </c>
      <c r="S180" s="288">
        <v>2</v>
      </c>
      <c r="T180" s="288" t="s">
        <v>66</v>
      </c>
      <c r="V180" t="s">
        <v>61</v>
      </c>
      <c r="W180" t="s">
        <v>26</v>
      </c>
    </row>
    <row r="181" spans="1:23" x14ac:dyDescent="0.25">
      <c r="A181" t="s">
        <v>261</v>
      </c>
      <c r="B181" t="s">
        <v>260</v>
      </c>
      <c r="C181" s="285">
        <v>1</v>
      </c>
      <c r="D181">
        <v>18573.967567485601</v>
      </c>
      <c r="E181">
        <v>26231733.855003498</v>
      </c>
      <c r="F181">
        <v>15032187.036087099</v>
      </c>
      <c r="G181">
        <v>15050761.003654599</v>
      </c>
      <c r="H181">
        <v>7.0807243128317803E-4</v>
      </c>
      <c r="I181">
        <v>7.0807243128317807E-2</v>
      </c>
      <c r="J181">
        <v>1.2340882672295E-3</v>
      </c>
      <c r="K181" s="286">
        <v>0.12340882672295</v>
      </c>
      <c r="L181" s="288" t="s">
        <v>28</v>
      </c>
      <c r="M181" s="288">
        <v>5000</v>
      </c>
      <c r="N181" s="288">
        <v>4</v>
      </c>
      <c r="O181" s="288">
        <v>3.228310513081142</v>
      </c>
      <c r="P181" s="288">
        <v>0</v>
      </c>
      <c r="Q181" s="288">
        <v>0</v>
      </c>
      <c r="R181" s="288" t="s">
        <v>60</v>
      </c>
      <c r="S181" s="288">
        <v>6</v>
      </c>
      <c r="T181" s="288" t="s">
        <v>66</v>
      </c>
      <c r="V181" t="s">
        <v>61</v>
      </c>
      <c r="W181" t="s">
        <v>31</v>
      </c>
    </row>
    <row r="182" spans="1:23" x14ac:dyDescent="0.25">
      <c r="A182" t="s">
        <v>262</v>
      </c>
      <c r="B182" t="s">
        <v>260</v>
      </c>
      <c r="C182" s="285">
        <v>3</v>
      </c>
      <c r="D182">
        <v>1541547.8917755899</v>
      </c>
      <c r="E182">
        <v>24949156.172739401</v>
      </c>
      <c r="F182">
        <v>13263624.0730354</v>
      </c>
      <c r="G182">
        <v>14805171.964810999</v>
      </c>
      <c r="H182">
        <v>6.1787576345366101E-2</v>
      </c>
      <c r="I182">
        <v>6.17875763453661</v>
      </c>
      <c r="J182">
        <v>0.104122255076776</v>
      </c>
      <c r="K182" s="286">
        <v>10.412225507677601</v>
      </c>
      <c r="L182" s="288" t="s">
        <v>28</v>
      </c>
      <c r="M182" s="288">
        <v>5000</v>
      </c>
      <c r="N182" s="288">
        <v>21</v>
      </c>
      <c r="O182" s="288">
        <v>5.3365878018156643</v>
      </c>
      <c r="P182" s="288">
        <v>4.9455974756357088</v>
      </c>
      <c r="Q182" s="288">
        <v>4.4487063199050798</v>
      </c>
      <c r="R182" s="288" t="s">
        <v>29</v>
      </c>
      <c r="S182" s="288">
        <v>6</v>
      </c>
      <c r="T182" s="288" t="s">
        <v>66</v>
      </c>
      <c r="V182" t="s">
        <v>61</v>
      </c>
      <c r="W182" t="s">
        <v>31</v>
      </c>
    </row>
    <row r="183" spans="1:23" x14ac:dyDescent="0.25">
      <c r="A183" t="s">
        <v>263</v>
      </c>
      <c r="B183" t="s">
        <v>260</v>
      </c>
      <c r="C183" s="285">
        <v>0</v>
      </c>
      <c r="D183">
        <v>0</v>
      </c>
      <c r="E183">
        <v>23852182.403386701</v>
      </c>
      <c r="F183">
        <v>13683976.0051273</v>
      </c>
      <c r="G183">
        <v>13689084.914295901</v>
      </c>
      <c r="H183" s="1">
        <v>0</v>
      </c>
      <c r="I183">
        <v>0</v>
      </c>
      <c r="J183" s="1">
        <v>0</v>
      </c>
      <c r="K183" s="286">
        <v>0</v>
      </c>
      <c r="L183" s="288" t="s">
        <v>28</v>
      </c>
      <c r="M183" s="288">
        <v>5000</v>
      </c>
      <c r="N183" s="288">
        <v>1</v>
      </c>
      <c r="O183" s="288">
        <v>6.0396781851121206</v>
      </c>
      <c r="P183" s="288">
        <v>4.069280240110702</v>
      </c>
      <c r="Q183" s="288">
        <v>3.1986570869544226</v>
      </c>
      <c r="R183" s="288" t="s">
        <v>29</v>
      </c>
      <c r="S183" s="288">
        <v>2</v>
      </c>
      <c r="T183" s="288" t="s">
        <v>66</v>
      </c>
      <c r="V183" t="s">
        <v>61</v>
      </c>
      <c r="W183" t="s">
        <v>26</v>
      </c>
    </row>
    <row r="184" spans="1:23" x14ac:dyDescent="0.25">
      <c r="A184" t="s">
        <v>264</v>
      </c>
      <c r="B184" t="s">
        <v>260</v>
      </c>
      <c r="C184" s="285">
        <v>2</v>
      </c>
      <c r="D184">
        <v>104084.27220407101</v>
      </c>
      <c r="E184">
        <v>28294772.7675533</v>
      </c>
      <c r="F184">
        <v>15008050.1088336</v>
      </c>
      <c r="G184">
        <v>15112134.381037701</v>
      </c>
      <c r="H184">
        <v>3.67856893777315E-3</v>
      </c>
      <c r="I184">
        <v>0.36785689377731501</v>
      </c>
      <c r="J184">
        <v>6.8874633840387998E-3</v>
      </c>
      <c r="K184" s="286">
        <v>0.68874633840388</v>
      </c>
      <c r="L184" s="288" t="s">
        <v>81</v>
      </c>
      <c r="M184" s="288">
        <v>5000</v>
      </c>
      <c r="N184" s="288">
        <v>8</v>
      </c>
      <c r="O184" s="288">
        <v>6.5986917126763691</v>
      </c>
      <c r="P184" s="288">
        <v>7.281095278220735</v>
      </c>
      <c r="Q184" s="288">
        <v>4.1986570869544222</v>
      </c>
      <c r="R184" s="288" t="s">
        <v>60</v>
      </c>
      <c r="S184" s="288">
        <v>2</v>
      </c>
      <c r="T184" s="288" t="s">
        <v>66</v>
      </c>
      <c r="V184" t="s">
        <v>61</v>
      </c>
      <c r="W184" t="s">
        <v>31</v>
      </c>
    </row>
    <row r="185" spans="1:23" x14ac:dyDescent="0.25">
      <c r="A185" t="s">
        <v>265</v>
      </c>
      <c r="B185" t="s">
        <v>260</v>
      </c>
      <c r="C185" s="285">
        <v>1</v>
      </c>
      <c r="D185">
        <v>2157.9879336122999</v>
      </c>
      <c r="E185">
        <v>16735241.264273601</v>
      </c>
      <c r="F185">
        <v>9665737.7258675303</v>
      </c>
      <c r="G185">
        <v>9667895.71380114</v>
      </c>
      <c r="H185">
        <v>1.2894871962313201E-4</v>
      </c>
      <c r="I185">
        <v>1.28948719623132E-2</v>
      </c>
      <c r="J185">
        <v>2.2321175129472301E-4</v>
      </c>
      <c r="K185" s="286">
        <v>2.23211751294723E-2</v>
      </c>
      <c r="L185" s="288" t="s">
        <v>81</v>
      </c>
      <c r="M185" s="288">
        <v>5000</v>
      </c>
      <c r="N185" s="288">
        <v>13</v>
      </c>
      <c r="O185" s="288">
        <v>4.4910329065534054</v>
      </c>
      <c r="P185" s="288">
        <v>7.281095278220735</v>
      </c>
      <c r="Q185" s="288">
        <v>0</v>
      </c>
      <c r="R185" s="288" t="s">
        <v>60</v>
      </c>
      <c r="S185" s="288">
        <v>6</v>
      </c>
      <c r="T185" s="288" t="s">
        <v>66</v>
      </c>
      <c r="V185" t="s">
        <v>61</v>
      </c>
      <c r="W185" t="s">
        <v>31</v>
      </c>
    </row>
    <row r="186" spans="1:23" x14ac:dyDescent="0.25">
      <c r="A186" t="s">
        <v>266</v>
      </c>
      <c r="B186" t="s">
        <v>260</v>
      </c>
      <c r="C186" s="285">
        <v>3</v>
      </c>
      <c r="D186">
        <v>2552890.3471284402</v>
      </c>
      <c r="E186">
        <v>20456572.961066399</v>
      </c>
      <c r="F186">
        <v>9487249.0943912305</v>
      </c>
      <c r="G186">
        <v>12040139.441519599</v>
      </c>
      <c r="H186">
        <v>0.124795602469053</v>
      </c>
      <c r="I186">
        <v>12.479560246905301</v>
      </c>
      <c r="J186">
        <v>0.21203162633855799</v>
      </c>
      <c r="K186" s="286">
        <v>21.203162633855801</v>
      </c>
      <c r="L186" s="288" t="s">
        <v>81</v>
      </c>
      <c r="M186" s="288">
        <v>5000</v>
      </c>
      <c r="N186" s="288">
        <v>16</v>
      </c>
      <c r="O186" s="288">
        <v>6.765452471166439</v>
      </c>
      <c r="P186" s="288">
        <v>8.6344772701607315</v>
      </c>
      <c r="Q186" s="288">
        <v>6.9489017609702133</v>
      </c>
      <c r="R186" s="288" t="s">
        <v>29</v>
      </c>
      <c r="S186" s="288">
        <v>2</v>
      </c>
      <c r="T186" s="288" t="s">
        <v>66</v>
      </c>
      <c r="V186" t="s">
        <v>61</v>
      </c>
      <c r="W186" t="s">
        <v>31</v>
      </c>
    </row>
    <row r="187" spans="1:23" x14ac:dyDescent="0.25">
      <c r="A187" t="s">
        <v>267</v>
      </c>
      <c r="B187" t="s">
        <v>260</v>
      </c>
      <c r="C187" s="285">
        <v>3</v>
      </c>
      <c r="D187">
        <v>3190623.10986795</v>
      </c>
      <c r="E187">
        <v>28896902.662959699</v>
      </c>
      <c r="F187">
        <v>17083863.784750201</v>
      </c>
      <c r="G187">
        <v>20274486.894618101</v>
      </c>
      <c r="H187">
        <v>0.110414017276589</v>
      </c>
      <c r="I187">
        <v>11.041401727658901</v>
      </c>
      <c r="J187">
        <v>0.15737133701346101</v>
      </c>
      <c r="K187" s="286">
        <v>15.737133701346099</v>
      </c>
      <c r="L187" s="288" t="s">
        <v>81</v>
      </c>
      <c r="M187" s="288">
        <v>5000</v>
      </c>
      <c r="N187" s="288">
        <v>26</v>
      </c>
      <c r="O187" s="288">
        <v>5.1629743136527821</v>
      </c>
      <c r="P187" s="288">
        <v>8.6344772701607315</v>
      </c>
      <c r="Q187" s="288">
        <v>4.1986570869544222</v>
      </c>
      <c r="R187" s="288" t="s">
        <v>29</v>
      </c>
      <c r="S187" s="288">
        <v>6</v>
      </c>
      <c r="T187" s="288" t="s">
        <v>66</v>
      </c>
      <c r="V187" t="s">
        <v>61</v>
      </c>
      <c r="W187" t="s">
        <v>31</v>
      </c>
    </row>
    <row r="188" spans="1:23" x14ac:dyDescent="0.25">
      <c r="A188" t="s">
        <v>268</v>
      </c>
      <c r="B188" t="s">
        <v>260</v>
      </c>
      <c r="C188" s="285">
        <v>1</v>
      </c>
      <c r="D188">
        <v>1765.6455737681099</v>
      </c>
      <c r="E188">
        <v>20430906.336406201</v>
      </c>
      <c r="F188">
        <v>10148675.048208499</v>
      </c>
      <c r="G188">
        <v>10150440.693782199</v>
      </c>
      <c r="H188" s="1">
        <v>8.6420325397991595E-5</v>
      </c>
      <c r="I188">
        <v>8.6420325397991594E-3</v>
      </c>
      <c r="J188">
        <v>1.73947676463906E-4</v>
      </c>
      <c r="K188" s="286">
        <v>1.7394767646390599E-2</v>
      </c>
      <c r="L188" s="288" t="s">
        <v>269</v>
      </c>
      <c r="M188" s="288">
        <v>5000</v>
      </c>
      <c r="N188" s="288">
        <v>7</v>
      </c>
      <c r="O188" s="288">
        <v>3.7974493938694884</v>
      </c>
      <c r="P188" s="288">
        <v>7.4480268674001993</v>
      </c>
      <c r="Q188" s="288">
        <v>1.4487063199050798</v>
      </c>
      <c r="R188" s="288" t="s">
        <v>60</v>
      </c>
      <c r="S188" s="288">
        <v>6</v>
      </c>
      <c r="T188" s="288" t="s">
        <v>66</v>
      </c>
      <c r="V188" t="s">
        <v>61</v>
      </c>
      <c r="W188" t="s">
        <v>31</v>
      </c>
    </row>
    <row r="189" spans="1:23" x14ac:dyDescent="0.25">
      <c r="A189" t="s">
        <v>270</v>
      </c>
      <c r="B189" t="s">
        <v>260</v>
      </c>
      <c r="C189" s="285">
        <v>1</v>
      </c>
      <c r="D189">
        <v>33475.356144695397</v>
      </c>
      <c r="E189">
        <v>21719233.527229499</v>
      </c>
      <c r="F189">
        <v>11174439.8697534</v>
      </c>
      <c r="G189">
        <v>11207915.2258981</v>
      </c>
      <c r="H189">
        <v>1.5412770484155001E-3</v>
      </c>
      <c r="I189">
        <v>0.15412770484155</v>
      </c>
      <c r="J189">
        <v>2.9867602912755499E-3</v>
      </c>
      <c r="K189" s="286">
        <v>0.29867602912755498</v>
      </c>
      <c r="L189" s="288" t="s">
        <v>269</v>
      </c>
      <c r="M189" s="288">
        <v>5000</v>
      </c>
      <c r="N189" s="288">
        <v>7</v>
      </c>
      <c r="O189" s="288">
        <v>3.6901077054051052</v>
      </c>
      <c r="P189" s="288">
        <v>7.4480268674001993</v>
      </c>
      <c r="Q189" s="288">
        <v>2.6989700043360187</v>
      </c>
      <c r="R189" s="288" t="s">
        <v>60</v>
      </c>
      <c r="S189" s="288">
        <v>2</v>
      </c>
      <c r="T189" s="288" t="s">
        <v>66</v>
      </c>
      <c r="V189" t="s">
        <v>61</v>
      </c>
      <c r="W189" t="s">
        <v>31</v>
      </c>
    </row>
    <row r="190" spans="1:23" x14ac:dyDescent="0.25">
      <c r="A190" t="s">
        <v>271</v>
      </c>
      <c r="B190" t="s">
        <v>260</v>
      </c>
      <c r="C190" s="285">
        <v>1</v>
      </c>
      <c r="D190">
        <v>60657.163634488999</v>
      </c>
      <c r="E190">
        <v>17326688.716147199</v>
      </c>
      <c r="F190">
        <v>11668683.170525899</v>
      </c>
      <c r="G190">
        <v>11729340.334160401</v>
      </c>
      <c r="H190">
        <v>3.50079375397105E-3</v>
      </c>
      <c r="I190">
        <v>0.35007937539710499</v>
      </c>
      <c r="J190">
        <v>5.1714045211759697E-3</v>
      </c>
      <c r="K190" s="286">
        <v>0.51714045211759696</v>
      </c>
      <c r="L190" s="288" t="s">
        <v>269</v>
      </c>
      <c r="M190" s="288">
        <v>5000</v>
      </c>
      <c r="N190" s="288">
        <v>1</v>
      </c>
      <c r="O190" s="288">
        <v>3.0256908236697404</v>
      </c>
      <c r="P190" s="288">
        <v>8.478566495593844</v>
      </c>
      <c r="Q190" s="288">
        <v>2.1986570869544226</v>
      </c>
      <c r="R190" s="288" t="s">
        <v>29</v>
      </c>
      <c r="S190" s="288">
        <v>2</v>
      </c>
      <c r="T190" s="288" t="s">
        <v>66</v>
      </c>
      <c r="V190" t="s">
        <v>61</v>
      </c>
      <c r="W190" t="s">
        <v>31</v>
      </c>
    </row>
    <row r="191" spans="1:23" x14ac:dyDescent="0.25">
      <c r="A191" t="s">
        <v>272</v>
      </c>
      <c r="B191" t="s">
        <v>260</v>
      </c>
      <c r="C191" s="285">
        <v>2</v>
      </c>
      <c r="D191">
        <v>144594.49611156399</v>
      </c>
      <c r="E191">
        <v>21414991.932411999</v>
      </c>
      <c r="F191">
        <v>11779722.2817993</v>
      </c>
      <c r="G191">
        <v>11924316.777910899</v>
      </c>
      <c r="H191">
        <v>6.7520219745083303E-3</v>
      </c>
      <c r="I191">
        <v>0.67520219745083299</v>
      </c>
      <c r="J191">
        <v>1.2126019360657801E-2</v>
      </c>
      <c r="K191" s="286">
        <v>1.21260193606578</v>
      </c>
      <c r="L191" s="288" t="s">
        <v>269</v>
      </c>
      <c r="M191" s="288">
        <v>5000</v>
      </c>
      <c r="N191" s="288">
        <v>16</v>
      </c>
      <c r="O191" s="288">
        <v>3.5700211229027907</v>
      </c>
      <c r="P191" s="288">
        <v>7.521793974577796</v>
      </c>
      <c r="Q191" s="288">
        <v>1.1986570869544226</v>
      </c>
      <c r="R191" s="288" t="s">
        <v>29</v>
      </c>
      <c r="S191" s="288">
        <v>6</v>
      </c>
      <c r="T191" s="288" t="s">
        <v>66</v>
      </c>
      <c r="V191" t="s">
        <v>61</v>
      </c>
      <c r="W191" t="s">
        <v>31</v>
      </c>
    </row>
    <row r="192" spans="1:23" x14ac:dyDescent="0.25">
      <c r="A192" t="s">
        <v>273</v>
      </c>
      <c r="B192" t="s">
        <v>274</v>
      </c>
      <c r="C192" s="285">
        <v>0</v>
      </c>
      <c r="D192">
        <v>0</v>
      </c>
      <c r="E192">
        <v>17856851.088896699</v>
      </c>
      <c r="F192">
        <v>8853699.99824089</v>
      </c>
      <c r="G192">
        <v>8857169.9534241296</v>
      </c>
      <c r="H192" s="1">
        <v>0</v>
      </c>
      <c r="I192">
        <v>0</v>
      </c>
      <c r="J192" s="1">
        <v>0</v>
      </c>
      <c r="K192" s="286">
        <v>0</v>
      </c>
      <c r="L192" s="288" t="s">
        <v>275</v>
      </c>
      <c r="M192" s="288">
        <v>5000</v>
      </c>
      <c r="N192" s="288">
        <v>6</v>
      </c>
      <c r="O192" s="288">
        <v>8.8309464774088902</v>
      </c>
      <c r="P192" s="288">
        <v>8.1619666163640741</v>
      </c>
      <c r="Q192" s="288">
        <v>0</v>
      </c>
      <c r="R192" s="288" t="s">
        <v>60</v>
      </c>
      <c r="S192" s="288">
        <v>6</v>
      </c>
      <c r="T192" s="288" t="s">
        <v>66</v>
      </c>
      <c r="V192" t="s">
        <v>61</v>
      </c>
      <c r="W192" t="s">
        <v>26</v>
      </c>
    </row>
    <row r="193" spans="1:23" x14ac:dyDescent="0.25">
      <c r="A193" t="s">
        <v>276</v>
      </c>
      <c r="B193" t="s">
        <v>274</v>
      </c>
      <c r="C193" s="285">
        <v>3</v>
      </c>
      <c r="D193">
        <v>1681413.0483842101</v>
      </c>
      <c r="E193">
        <v>23188322.7044685</v>
      </c>
      <c r="F193">
        <v>15517988.638301199</v>
      </c>
      <c r="G193">
        <v>17199401.686685398</v>
      </c>
      <c r="H193">
        <v>7.2511197546004005E-2</v>
      </c>
      <c r="I193">
        <v>7.2511197546004</v>
      </c>
      <c r="J193">
        <v>9.7759973225454599E-2</v>
      </c>
      <c r="K193" s="286">
        <v>9.7759973225454608</v>
      </c>
      <c r="L193" s="288" t="s">
        <v>275</v>
      </c>
      <c r="M193" s="288">
        <v>5000</v>
      </c>
      <c r="N193" s="288">
        <v>38</v>
      </c>
      <c r="O193" s="288">
        <v>8.9544511137030405</v>
      </c>
      <c r="P193" s="288">
        <v>9.8976270912904418</v>
      </c>
      <c r="Q193" s="288">
        <v>4.6989700043360187</v>
      </c>
      <c r="R193" s="288" t="s">
        <v>29</v>
      </c>
      <c r="S193" s="288">
        <v>6</v>
      </c>
      <c r="T193" s="288" t="s">
        <v>66</v>
      </c>
      <c r="V193" t="s">
        <v>61</v>
      </c>
      <c r="W193" t="s">
        <v>31</v>
      </c>
    </row>
    <row r="194" spans="1:23" x14ac:dyDescent="0.25">
      <c r="A194" t="s">
        <v>277</v>
      </c>
      <c r="B194" t="s">
        <v>274</v>
      </c>
      <c r="C194" s="285">
        <v>3</v>
      </c>
      <c r="D194">
        <v>44201.631742900499</v>
      </c>
      <c r="E194">
        <v>19305818.689152099</v>
      </c>
      <c r="F194">
        <v>10118388.571549799</v>
      </c>
      <c r="G194">
        <v>10162590.2032927</v>
      </c>
      <c r="H194">
        <v>2.28954971838295E-3</v>
      </c>
      <c r="I194">
        <v>0.228954971838295</v>
      </c>
      <c r="J194">
        <v>4.3494454522606599E-3</v>
      </c>
      <c r="K194" s="286">
        <v>0.43494454522606601</v>
      </c>
      <c r="L194" s="288" t="s">
        <v>275</v>
      </c>
      <c r="M194" s="288">
        <v>5000</v>
      </c>
      <c r="N194" s="288">
        <v>33</v>
      </c>
      <c r="O194" s="288">
        <v>8.0521466708611236</v>
      </c>
      <c r="P194" s="288">
        <v>9.7403626894942441</v>
      </c>
      <c r="Q194" s="288">
        <v>3.6989700043360187</v>
      </c>
      <c r="R194" s="288" t="s">
        <v>29</v>
      </c>
      <c r="S194" s="288">
        <v>6</v>
      </c>
      <c r="T194" s="288" t="s">
        <v>66</v>
      </c>
      <c r="V194" t="s">
        <v>25</v>
      </c>
      <c r="W194" t="s">
        <v>31</v>
      </c>
    </row>
    <row r="195" spans="1:23" x14ac:dyDescent="0.25">
      <c r="A195" t="s">
        <v>284</v>
      </c>
      <c r="B195" t="s">
        <v>279</v>
      </c>
      <c r="C195" s="285">
        <v>0</v>
      </c>
      <c r="D195">
        <v>0</v>
      </c>
      <c r="E195">
        <v>33048052.212556999</v>
      </c>
      <c r="F195">
        <v>11671680.627595199</v>
      </c>
      <c r="G195">
        <v>11675725.4534378</v>
      </c>
      <c r="H195" s="1">
        <v>0</v>
      </c>
      <c r="I195">
        <v>0</v>
      </c>
      <c r="J195" s="1">
        <v>0</v>
      </c>
      <c r="K195" s="286">
        <v>0</v>
      </c>
      <c r="L195" s="288" t="s">
        <v>53</v>
      </c>
      <c r="M195" s="288">
        <v>2000000</v>
      </c>
      <c r="N195" s="288">
        <v>1</v>
      </c>
      <c r="O195" s="288" t="s">
        <v>59</v>
      </c>
      <c r="P195" s="288">
        <v>6.4414022280162895</v>
      </c>
      <c r="Q195" s="288">
        <v>3.1989700043360196</v>
      </c>
      <c r="R195" s="288" t="s">
        <v>29</v>
      </c>
      <c r="S195" s="288">
        <v>1</v>
      </c>
      <c r="T195" s="288" t="s">
        <v>382</v>
      </c>
      <c r="U195" s="291" t="s">
        <v>285</v>
      </c>
      <c r="W195" t="s">
        <v>26</v>
      </c>
    </row>
    <row r="196" spans="1:23" x14ac:dyDescent="0.25">
      <c r="A196" t="s">
        <v>286</v>
      </c>
      <c r="B196" t="s">
        <v>279</v>
      </c>
      <c r="C196" s="285">
        <v>2</v>
      </c>
      <c r="D196">
        <v>71894.011294528696</v>
      </c>
      <c r="E196">
        <v>32574042.088106699</v>
      </c>
      <c r="F196">
        <v>11511088.312042501</v>
      </c>
      <c r="G196">
        <v>11582982.323337</v>
      </c>
      <c r="H196">
        <v>2.2070951802686499E-3</v>
      </c>
      <c r="I196">
        <v>0.220709518026865</v>
      </c>
      <c r="J196">
        <v>6.2068653208318001E-3</v>
      </c>
      <c r="K196" s="286">
        <v>0.62068653208318003</v>
      </c>
      <c r="L196" s="288" t="s">
        <v>53</v>
      </c>
      <c r="M196" s="288">
        <v>2000000</v>
      </c>
      <c r="N196" s="288">
        <v>8</v>
      </c>
      <c r="O196" s="288" t="s">
        <v>59</v>
      </c>
      <c r="P196" s="288">
        <v>10.970991384615543</v>
      </c>
      <c r="Q196" s="288">
        <v>6.4489700043360196</v>
      </c>
      <c r="R196" s="288" t="s">
        <v>29</v>
      </c>
      <c r="S196" s="288">
        <v>1</v>
      </c>
      <c r="T196" s="288" t="s">
        <v>382</v>
      </c>
      <c r="U196" s="291" t="s">
        <v>285</v>
      </c>
      <c r="W196" t="s">
        <v>31</v>
      </c>
    </row>
    <row r="197" spans="1:23" x14ac:dyDescent="0.25">
      <c r="A197" t="s">
        <v>287</v>
      </c>
      <c r="B197" t="s">
        <v>279</v>
      </c>
      <c r="C197" s="285">
        <v>2</v>
      </c>
      <c r="D197">
        <v>38253.467482979497</v>
      </c>
      <c r="E197">
        <v>28564448.114285599</v>
      </c>
      <c r="F197">
        <v>11380796.486048</v>
      </c>
      <c r="G197">
        <v>11419049.953531001</v>
      </c>
      <c r="H197">
        <v>1.33919854953711E-3</v>
      </c>
      <c r="I197">
        <v>0.133919854953711</v>
      </c>
      <c r="J197">
        <v>3.3499693616061798E-3</v>
      </c>
      <c r="K197" s="286">
        <v>0.33499693616061799</v>
      </c>
      <c r="L197" s="288" t="s">
        <v>53</v>
      </c>
      <c r="M197" s="288">
        <v>2000000</v>
      </c>
      <c r="N197" s="288">
        <v>33</v>
      </c>
      <c r="O197" s="288" t="s">
        <v>59</v>
      </c>
      <c r="P197" s="288">
        <v>10.502098454477627</v>
      </c>
      <c r="Q197" s="288">
        <v>6.9489700043360187</v>
      </c>
      <c r="R197" s="288" t="s">
        <v>29</v>
      </c>
      <c r="S197" s="288">
        <v>2</v>
      </c>
      <c r="T197" s="288" t="s">
        <v>382</v>
      </c>
      <c r="U197" s="291" t="s">
        <v>285</v>
      </c>
      <c r="W197" t="s">
        <v>31</v>
      </c>
    </row>
    <row r="198" spans="1:23" x14ac:dyDescent="0.25">
      <c r="A198" t="s">
        <v>288</v>
      </c>
      <c r="B198" t="s">
        <v>279</v>
      </c>
      <c r="C198" s="285">
        <v>0</v>
      </c>
      <c r="D198">
        <v>0</v>
      </c>
      <c r="E198">
        <v>29655460.562118098</v>
      </c>
      <c r="F198">
        <v>11399104.306578601</v>
      </c>
      <c r="G198">
        <v>11399296.776321899</v>
      </c>
      <c r="H198" s="1">
        <v>0</v>
      </c>
      <c r="I198">
        <v>0</v>
      </c>
      <c r="J198" s="1">
        <v>0</v>
      </c>
      <c r="K198" s="286">
        <v>0</v>
      </c>
      <c r="L198" s="288" t="s">
        <v>53</v>
      </c>
      <c r="M198" s="288">
        <v>2000000</v>
      </c>
      <c r="N198" s="288">
        <v>3</v>
      </c>
      <c r="O198" s="288" t="s">
        <v>59</v>
      </c>
      <c r="P198" s="288">
        <v>7.6944781620055505</v>
      </c>
      <c r="Q198" s="288">
        <v>3.6989700043360201</v>
      </c>
      <c r="R198" s="288" t="s">
        <v>29</v>
      </c>
      <c r="S198" s="288">
        <v>2</v>
      </c>
      <c r="T198" s="288" t="s">
        <v>382</v>
      </c>
      <c r="U198" s="291" t="s">
        <v>285</v>
      </c>
      <c r="W198" t="s">
        <v>26</v>
      </c>
    </row>
    <row r="199" spans="1:23" x14ac:dyDescent="0.25">
      <c r="A199" t="s">
        <v>289</v>
      </c>
      <c r="B199" t="s">
        <v>279</v>
      </c>
      <c r="C199" s="285">
        <v>0</v>
      </c>
      <c r="D199">
        <v>0</v>
      </c>
      <c r="E199">
        <v>26495838.425066799</v>
      </c>
      <c r="F199">
        <v>9440137.4970583301</v>
      </c>
      <c r="G199">
        <v>9442352.16842838</v>
      </c>
      <c r="H199" s="1">
        <v>0</v>
      </c>
      <c r="I199">
        <v>0</v>
      </c>
      <c r="J199" s="1">
        <v>0</v>
      </c>
      <c r="K199" s="286">
        <v>0</v>
      </c>
      <c r="L199" s="288" t="s">
        <v>53</v>
      </c>
      <c r="M199" s="288">
        <v>2000000</v>
      </c>
      <c r="N199" s="288">
        <v>3</v>
      </c>
      <c r="O199" s="288" t="s">
        <v>59</v>
      </c>
      <c r="P199" s="288">
        <v>6.370729266910967</v>
      </c>
      <c r="Q199" s="288">
        <v>4.1989700043360196</v>
      </c>
      <c r="R199" s="288" t="s">
        <v>29</v>
      </c>
      <c r="S199" s="288">
        <v>1</v>
      </c>
      <c r="T199" s="288" t="s">
        <v>382</v>
      </c>
      <c r="U199" s="291" t="s">
        <v>285</v>
      </c>
      <c r="W199" t="s">
        <v>26</v>
      </c>
    </row>
    <row r="200" spans="1:23" x14ac:dyDescent="0.25">
      <c r="A200" t="s">
        <v>290</v>
      </c>
      <c r="B200" t="s">
        <v>279</v>
      </c>
      <c r="C200" s="285">
        <v>2</v>
      </c>
      <c r="D200">
        <v>235318.81743632199</v>
      </c>
      <c r="E200">
        <v>30245980.177640501</v>
      </c>
      <c r="F200">
        <v>13503026.784538001</v>
      </c>
      <c r="G200">
        <v>13738345.601974299</v>
      </c>
      <c r="H200">
        <v>7.7801683415200601E-3</v>
      </c>
      <c r="I200">
        <v>0.77801683415200595</v>
      </c>
      <c r="J200">
        <v>1.7128613899660802E-2</v>
      </c>
      <c r="K200" s="286">
        <v>1.7128613899660801</v>
      </c>
      <c r="L200" s="288" t="s">
        <v>53</v>
      </c>
      <c r="M200" s="288">
        <v>2000000</v>
      </c>
      <c r="N200" s="288">
        <v>34</v>
      </c>
      <c r="O200" s="288" t="s">
        <v>59</v>
      </c>
      <c r="P200" s="288">
        <v>11.09695094260031</v>
      </c>
      <c r="Q200" s="288">
        <v>7.9489700043360196</v>
      </c>
      <c r="R200" s="288" t="s">
        <v>29</v>
      </c>
      <c r="S200" s="288">
        <v>1</v>
      </c>
      <c r="T200" s="288" t="s">
        <v>382</v>
      </c>
      <c r="U200" s="291" t="s">
        <v>285</v>
      </c>
      <c r="W200" t="s">
        <v>31</v>
      </c>
    </row>
    <row r="201" spans="1:23" x14ac:dyDescent="0.25">
      <c r="A201" t="s">
        <v>291</v>
      </c>
      <c r="B201" t="s">
        <v>279</v>
      </c>
      <c r="C201" s="285">
        <v>2</v>
      </c>
      <c r="D201">
        <v>57109.374745416499</v>
      </c>
      <c r="E201">
        <v>26367379.9613043</v>
      </c>
      <c r="F201">
        <v>11273880.5054734</v>
      </c>
      <c r="G201">
        <v>11330989.880218901</v>
      </c>
      <c r="H201">
        <v>2.1659101067010699E-3</v>
      </c>
      <c r="I201">
        <v>0.216591010670107</v>
      </c>
      <c r="J201">
        <v>5.0401046465600799E-3</v>
      </c>
      <c r="K201" s="286">
        <v>0.50401046465600796</v>
      </c>
      <c r="L201" s="288" t="s">
        <v>53</v>
      </c>
      <c r="M201" s="288">
        <v>2000000</v>
      </c>
      <c r="N201" s="288">
        <v>27</v>
      </c>
      <c r="O201" s="288" t="s">
        <v>59</v>
      </c>
      <c r="P201" s="288">
        <v>10.131521783884759</v>
      </c>
      <c r="Q201" s="288">
        <v>6.9489700043360187</v>
      </c>
      <c r="R201" s="288" t="s">
        <v>29</v>
      </c>
      <c r="S201" s="288">
        <v>2</v>
      </c>
      <c r="T201" s="288" t="s">
        <v>382</v>
      </c>
      <c r="U201" s="291" t="s">
        <v>285</v>
      </c>
      <c r="W201" t="s">
        <v>31</v>
      </c>
    </row>
    <row r="202" spans="1:23" x14ac:dyDescent="0.25">
      <c r="A202" t="s">
        <v>292</v>
      </c>
      <c r="B202" t="s">
        <v>279</v>
      </c>
      <c r="C202" s="285">
        <v>2</v>
      </c>
      <c r="D202">
        <v>74554.751146493494</v>
      </c>
      <c r="E202">
        <v>23098798.4055067</v>
      </c>
      <c r="F202">
        <v>9057959.1608207598</v>
      </c>
      <c r="G202">
        <v>9132513.9119672496</v>
      </c>
      <c r="H202">
        <v>3.2276462973381201E-3</v>
      </c>
      <c r="I202">
        <v>0.32276462973381198</v>
      </c>
      <c r="J202">
        <v>8.1636613823053497E-3</v>
      </c>
      <c r="K202" s="286">
        <v>0.81636613823053505</v>
      </c>
      <c r="L202" s="288" t="s">
        <v>53</v>
      </c>
      <c r="M202" s="288">
        <v>2000000</v>
      </c>
      <c r="N202" s="288">
        <v>32</v>
      </c>
      <c r="O202" s="288" t="s">
        <v>59</v>
      </c>
      <c r="P202" s="288">
        <v>10.97646788713662</v>
      </c>
      <c r="Q202" s="288">
        <v>8.1989700043360205</v>
      </c>
      <c r="R202" s="288" t="s">
        <v>29</v>
      </c>
      <c r="S202" s="288">
        <v>2</v>
      </c>
      <c r="T202" s="288" t="s">
        <v>382</v>
      </c>
      <c r="U202" s="291" t="s">
        <v>285</v>
      </c>
      <c r="W202" t="s">
        <v>31</v>
      </c>
    </row>
    <row r="203" spans="1:23" x14ac:dyDescent="0.25">
      <c r="A203" t="s">
        <v>293</v>
      </c>
      <c r="B203" t="s">
        <v>279</v>
      </c>
      <c r="C203" s="285">
        <v>2</v>
      </c>
      <c r="D203">
        <v>44629.084462112303</v>
      </c>
      <c r="E203">
        <v>27911525.0216644</v>
      </c>
      <c r="F203">
        <v>9395760.3671241105</v>
      </c>
      <c r="G203">
        <v>9440389.4515862204</v>
      </c>
      <c r="H203">
        <v>1.5989482633955701E-3</v>
      </c>
      <c r="I203">
        <v>0.15989482633955701</v>
      </c>
      <c r="J203">
        <v>4.7274622186920003E-3</v>
      </c>
      <c r="K203" s="286">
        <v>0.47274622186920001</v>
      </c>
      <c r="L203" s="288" t="s">
        <v>53</v>
      </c>
      <c r="M203" s="288">
        <v>2000000</v>
      </c>
      <c r="N203" s="288">
        <v>34</v>
      </c>
      <c r="O203" s="288" t="s">
        <v>59</v>
      </c>
      <c r="P203" s="288">
        <v>10.422297989170506</v>
      </c>
      <c r="Q203" s="288">
        <v>5.1989700043360187</v>
      </c>
      <c r="R203" s="288" t="s">
        <v>29</v>
      </c>
      <c r="S203" s="288">
        <v>2</v>
      </c>
      <c r="T203" s="288" t="s">
        <v>382</v>
      </c>
      <c r="U203" s="291" t="s">
        <v>285</v>
      </c>
      <c r="W203" t="s">
        <v>31</v>
      </c>
    </row>
    <row r="204" spans="1:23" x14ac:dyDescent="0.25">
      <c r="A204" t="s">
        <v>294</v>
      </c>
      <c r="B204" t="s">
        <v>279</v>
      </c>
      <c r="C204" s="285">
        <v>1</v>
      </c>
      <c r="D204">
        <v>26425.677192757699</v>
      </c>
      <c r="E204">
        <v>34281281.807124503</v>
      </c>
      <c r="F204">
        <v>11935332.0929759</v>
      </c>
      <c r="G204">
        <v>11961757.770168699</v>
      </c>
      <c r="H204">
        <v>7.7084857390792702E-4</v>
      </c>
      <c r="I204">
        <v>7.7084857390792696E-2</v>
      </c>
      <c r="J204">
        <v>2.2091800971476201E-3</v>
      </c>
      <c r="K204" s="286">
        <v>0.220918009714762</v>
      </c>
      <c r="L204" s="288" t="s">
        <v>53</v>
      </c>
      <c r="M204" s="288">
        <v>2000000</v>
      </c>
      <c r="N204" s="288">
        <v>37</v>
      </c>
      <c r="O204" s="288" t="s">
        <v>59</v>
      </c>
      <c r="P204" s="288">
        <v>9.0912470907144893</v>
      </c>
      <c r="Q204" s="288">
        <v>4.4489700043360187</v>
      </c>
      <c r="R204" s="288" t="s">
        <v>29</v>
      </c>
      <c r="S204" s="288">
        <v>2</v>
      </c>
      <c r="T204" s="288" t="s">
        <v>382</v>
      </c>
      <c r="U204" s="291" t="s">
        <v>285</v>
      </c>
      <c r="W204" t="s">
        <v>31</v>
      </c>
    </row>
    <row r="205" spans="1:23" x14ac:dyDescent="0.25">
      <c r="A205" t="s">
        <v>295</v>
      </c>
      <c r="B205" t="s">
        <v>279</v>
      </c>
      <c r="C205" s="285">
        <v>1</v>
      </c>
      <c r="D205">
        <v>28225.163325192301</v>
      </c>
      <c r="E205">
        <v>26579306.9262169</v>
      </c>
      <c r="F205">
        <v>8622150.6593087595</v>
      </c>
      <c r="G205">
        <v>8650375.8226339594</v>
      </c>
      <c r="H205">
        <v>1.06192247237838E-3</v>
      </c>
      <c r="I205">
        <v>0.106192247237838</v>
      </c>
      <c r="J205">
        <v>3.2628828971037701E-3</v>
      </c>
      <c r="K205" s="286">
        <v>0.32628828971037599</v>
      </c>
      <c r="L205" s="288" t="s">
        <v>53</v>
      </c>
      <c r="M205" s="288">
        <v>2000000</v>
      </c>
      <c r="N205" s="288">
        <v>37</v>
      </c>
      <c r="O205" s="288" t="s">
        <v>59</v>
      </c>
      <c r="P205" s="288">
        <v>8.5263849735405604</v>
      </c>
      <c r="Q205" s="288">
        <v>6.9489700043360187</v>
      </c>
      <c r="R205" s="288" t="s">
        <v>29</v>
      </c>
      <c r="S205" s="288">
        <v>2</v>
      </c>
      <c r="T205" s="288" t="s">
        <v>382</v>
      </c>
      <c r="U205" s="291" t="s">
        <v>285</v>
      </c>
      <c r="W205" t="s">
        <v>31</v>
      </c>
    </row>
    <row r="206" spans="1:23" x14ac:dyDescent="0.25">
      <c r="A206" t="s">
        <v>296</v>
      </c>
      <c r="B206" t="s">
        <v>279</v>
      </c>
      <c r="C206" s="285">
        <v>0</v>
      </c>
      <c r="D206">
        <v>0</v>
      </c>
      <c r="E206">
        <v>22842887.741691601</v>
      </c>
      <c r="F206">
        <v>7812560.9324413398</v>
      </c>
      <c r="G206">
        <v>7822129.6413211701</v>
      </c>
      <c r="H206" s="1">
        <v>0</v>
      </c>
      <c r="I206">
        <v>0</v>
      </c>
      <c r="J206" s="1">
        <v>0</v>
      </c>
      <c r="K206" s="286">
        <v>0</v>
      </c>
      <c r="L206" s="288" t="s">
        <v>53</v>
      </c>
      <c r="M206" s="288">
        <v>2000000</v>
      </c>
      <c r="N206" s="288">
        <v>2</v>
      </c>
      <c r="O206" s="288" t="s">
        <v>59</v>
      </c>
      <c r="P206" s="288">
        <v>9.9740071399452148</v>
      </c>
      <c r="Q206" s="288">
        <v>4.9489700043360196</v>
      </c>
      <c r="R206" s="288" t="s">
        <v>29</v>
      </c>
      <c r="S206" s="288">
        <v>2</v>
      </c>
      <c r="T206" s="288" t="s">
        <v>382</v>
      </c>
      <c r="U206" s="291" t="s">
        <v>285</v>
      </c>
      <c r="W206" t="s">
        <v>26</v>
      </c>
    </row>
    <row r="207" spans="1:23" x14ac:dyDescent="0.25">
      <c r="A207" t="s">
        <v>297</v>
      </c>
      <c r="B207" t="s">
        <v>279</v>
      </c>
      <c r="C207" s="285">
        <v>2</v>
      </c>
      <c r="D207">
        <v>133125.21268282799</v>
      </c>
      <c r="E207">
        <v>25729025.282720201</v>
      </c>
      <c r="F207">
        <v>9231961.44034856</v>
      </c>
      <c r="G207">
        <v>9365086.6530313902</v>
      </c>
      <c r="H207">
        <v>5.1741257672997002E-3</v>
      </c>
      <c r="I207">
        <v>0.51741257672996999</v>
      </c>
      <c r="J207">
        <v>1.4215054020854901E-2</v>
      </c>
      <c r="K207" s="286">
        <v>1.42150540208549</v>
      </c>
      <c r="L207" s="288" t="s">
        <v>53</v>
      </c>
      <c r="M207" s="288">
        <v>2000000</v>
      </c>
      <c r="N207" s="288">
        <v>22</v>
      </c>
      <c r="O207" s="288" t="s">
        <v>59</v>
      </c>
      <c r="P207" s="288">
        <v>10.948303017028222</v>
      </c>
      <c r="Q207" s="288">
        <v>7.6989700043360187</v>
      </c>
      <c r="R207" s="288" t="s">
        <v>29</v>
      </c>
      <c r="S207" s="288">
        <v>1</v>
      </c>
      <c r="T207" s="288" t="s">
        <v>382</v>
      </c>
      <c r="U207" s="291" t="s">
        <v>285</v>
      </c>
      <c r="W207" t="s">
        <v>31</v>
      </c>
    </row>
    <row r="208" spans="1:23" x14ac:dyDescent="0.25">
      <c r="A208" t="s">
        <v>298</v>
      </c>
      <c r="B208" t="s">
        <v>279</v>
      </c>
      <c r="C208" s="285">
        <v>1</v>
      </c>
      <c r="D208">
        <v>26423.771007964198</v>
      </c>
      <c r="E208">
        <v>38609149.522483498</v>
      </c>
      <c r="F208">
        <v>16938749.5220934</v>
      </c>
      <c r="G208">
        <v>16965173.2931013</v>
      </c>
      <c r="H208">
        <v>6.8439142883933905E-4</v>
      </c>
      <c r="I208">
        <v>6.8439142883933907E-2</v>
      </c>
      <c r="J208">
        <v>1.55753027401783E-3</v>
      </c>
      <c r="K208" s="286">
        <v>0.15575302740178301</v>
      </c>
      <c r="L208" s="288" t="s">
        <v>53</v>
      </c>
      <c r="M208" s="288">
        <v>2000000</v>
      </c>
      <c r="N208" s="288">
        <v>35</v>
      </c>
      <c r="O208" s="288" t="s">
        <v>59</v>
      </c>
      <c r="P208" s="288">
        <v>10.584767563962455</v>
      </c>
      <c r="Q208" s="288">
        <v>6.9489700043360187</v>
      </c>
      <c r="R208" s="288" t="s">
        <v>29</v>
      </c>
      <c r="S208" s="288">
        <v>2</v>
      </c>
      <c r="T208" s="288" t="s">
        <v>382</v>
      </c>
      <c r="U208" s="291" t="s">
        <v>285</v>
      </c>
      <c r="W208" t="s">
        <v>31</v>
      </c>
    </row>
    <row r="209" spans="1:23" x14ac:dyDescent="0.25">
      <c r="A209" t="s">
        <v>299</v>
      </c>
      <c r="B209" t="s">
        <v>279</v>
      </c>
      <c r="C209" s="285">
        <v>1</v>
      </c>
      <c r="D209">
        <v>32390.968238331199</v>
      </c>
      <c r="E209">
        <v>28413304.885367401</v>
      </c>
      <c r="F209">
        <v>11234163.0356624</v>
      </c>
      <c r="G209">
        <v>11266554.0039008</v>
      </c>
      <c r="H209">
        <v>1.13999298458984E-3</v>
      </c>
      <c r="I209">
        <v>0.113999298458984</v>
      </c>
      <c r="J209">
        <v>2.8749667579915299E-3</v>
      </c>
      <c r="K209" s="286">
        <v>0.287496675799153</v>
      </c>
      <c r="L209" s="288" t="s">
        <v>53</v>
      </c>
      <c r="M209" s="288">
        <v>2000000</v>
      </c>
      <c r="N209" s="288">
        <v>33</v>
      </c>
      <c r="O209" s="288" t="s">
        <v>59</v>
      </c>
      <c r="P209" s="288">
        <v>10.340150451354353</v>
      </c>
      <c r="Q209" s="288">
        <v>6.9489700043360187</v>
      </c>
      <c r="R209" s="288" t="s">
        <v>29</v>
      </c>
      <c r="S209" s="288">
        <v>2</v>
      </c>
      <c r="T209" s="288" t="s">
        <v>382</v>
      </c>
      <c r="U209" s="291" t="s">
        <v>285</v>
      </c>
      <c r="W209" t="s">
        <v>31</v>
      </c>
    </row>
    <row r="210" spans="1:23" x14ac:dyDescent="0.25">
      <c r="A210" t="s">
        <v>300</v>
      </c>
      <c r="B210" t="s">
        <v>279</v>
      </c>
      <c r="C210" s="285">
        <v>2</v>
      </c>
      <c r="D210">
        <v>58046.342413368198</v>
      </c>
      <c r="E210">
        <v>19468514.692887899</v>
      </c>
      <c r="F210">
        <v>5673798.37267562</v>
      </c>
      <c r="G210">
        <v>5731844.7150889803</v>
      </c>
      <c r="H210">
        <v>2.9815496112075299E-3</v>
      </c>
      <c r="I210">
        <v>0.29815496112075301</v>
      </c>
      <c r="J210">
        <v>1.0126991448418299E-2</v>
      </c>
      <c r="K210" s="286">
        <v>1.0126991448418301</v>
      </c>
      <c r="L210" s="288" t="s">
        <v>53</v>
      </c>
      <c r="M210" s="288">
        <v>2000000</v>
      </c>
      <c r="N210" s="288">
        <v>0</v>
      </c>
      <c r="O210" s="288" t="s">
        <v>59</v>
      </c>
      <c r="P210" s="288">
        <v>10.945173587016178</v>
      </c>
      <c r="Q210" s="288">
        <v>7.6989700043360187</v>
      </c>
      <c r="R210" s="288" t="s">
        <v>29</v>
      </c>
      <c r="S210" s="288">
        <v>1</v>
      </c>
      <c r="T210" s="288" t="s">
        <v>382</v>
      </c>
      <c r="U210" s="291" t="s">
        <v>285</v>
      </c>
      <c r="W210" t="s">
        <v>31</v>
      </c>
    </row>
    <row r="211" spans="1:23" x14ac:dyDescent="0.25">
      <c r="A211" t="s">
        <v>301</v>
      </c>
      <c r="B211" t="s">
        <v>279</v>
      </c>
      <c r="C211" s="285">
        <v>0</v>
      </c>
      <c r="D211">
        <v>0</v>
      </c>
      <c r="E211">
        <v>25280327.799345501</v>
      </c>
      <c r="F211">
        <v>7812668.0596962599</v>
      </c>
      <c r="G211">
        <v>7812692.8058098303</v>
      </c>
      <c r="H211" s="1">
        <v>0</v>
      </c>
      <c r="I211">
        <v>0</v>
      </c>
      <c r="J211" s="1">
        <v>0</v>
      </c>
      <c r="K211" s="286">
        <v>0</v>
      </c>
      <c r="L211" s="288" t="s">
        <v>53</v>
      </c>
      <c r="M211" s="288">
        <v>2000000</v>
      </c>
      <c r="N211" s="288">
        <v>1</v>
      </c>
      <c r="O211" s="288" t="s">
        <v>59</v>
      </c>
      <c r="P211" s="288">
        <v>10.008691655912035</v>
      </c>
      <c r="Q211" s="288">
        <v>5.9489700043360187</v>
      </c>
      <c r="R211" s="288" t="s">
        <v>29</v>
      </c>
      <c r="S211" s="288">
        <v>1</v>
      </c>
      <c r="T211" s="288" t="s">
        <v>382</v>
      </c>
      <c r="U211" s="291" t="s">
        <v>285</v>
      </c>
      <c r="W211" t="s">
        <v>26</v>
      </c>
    </row>
    <row r="212" spans="1:23" x14ac:dyDescent="0.25">
      <c r="A212" t="s">
        <v>302</v>
      </c>
      <c r="B212" t="s">
        <v>279</v>
      </c>
      <c r="C212" s="285">
        <v>2</v>
      </c>
      <c r="D212">
        <v>37203.985326320799</v>
      </c>
      <c r="E212">
        <v>25842733.8902619</v>
      </c>
      <c r="F212">
        <v>10712161.064748799</v>
      </c>
      <c r="G212">
        <v>10749365.050075101</v>
      </c>
      <c r="H212">
        <v>1.4396303999531499E-3</v>
      </c>
      <c r="I212">
        <v>0.14396303999531501</v>
      </c>
      <c r="J212">
        <v>3.4610402710307602E-3</v>
      </c>
      <c r="K212" s="286">
        <v>0.34610402710307597</v>
      </c>
      <c r="L212" s="288" t="s">
        <v>53</v>
      </c>
      <c r="M212" s="288">
        <v>2000000</v>
      </c>
      <c r="N212" s="288">
        <v>13</v>
      </c>
      <c r="O212" s="288" t="s">
        <v>59</v>
      </c>
      <c r="P212" s="288">
        <v>7.7544589039030569</v>
      </c>
      <c r="Q212" s="288">
        <v>5.4489700043360196</v>
      </c>
      <c r="R212" s="288" t="s">
        <v>29</v>
      </c>
      <c r="S212" s="288">
        <v>1</v>
      </c>
      <c r="T212" s="288" t="s">
        <v>382</v>
      </c>
      <c r="U212" s="291" t="s">
        <v>285</v>
      </c>
      <c r="W212" t="s">
        <v>31</v>
      </c>
    </row>
    <row r="213" spans="1:23" x14ac:dyDescent="0.25">
      <c r="A213" t="s">
        <v>303</v>
      </c>
      <c r="B213" t="s">
        <v>279</v>
      </c>
      <c r="C213" s="285">
        <v>1</v>
      </c>
      <c r="D213">
        <v>10959.3544250834</v>
      </c>
      <c r="E213">
        <v>24703841.722086102</v>
      </c>
      <c r="F213">
        <v>11596306.4105487</v>
      </c>
      <c r="G213">
        <v>11607265.764973801</v>
      </c>
      <c r="H213">
        <v>4.4362955966016101E-4</v>
      </c>
      <c r="I213">
        <v>4.4362955966016103E-2</v>
      </c>
      <c r="J213">
        <v>9.4418053717305395E-4</v>
      </c>
      <c r="K213" s="286">
        <v>9.4418053717305397E-2</v>
      </c>
      <c r="L213" s="288" t="s">
        <v>53</v>
      </c>
      <c r="M213" s="288">
        <v>2000000</v>
      </c>
      <c r="N213" s="288">
        <v>28</v>
      </c>
      <c r="O213" s="288" t="s">
        <v>59</v>
      </c>
      <c r="P213" s="288">
        <v>10.903447853522261</v>
      </c>
      <c r="Q213" s="288">
        <v>6.9489700043360187</v>
      </c>
      <c r="R213" s="288" t="s">
        <v>29</v>
      </c>
      <c r="S213" s="288">
        <v>2</v>
      </c>
      <c r="T213" s="288" t="s">
        <v>382</v>
      </c>
      <c r="U213" s="291" t="s">
        <v>285</v>
      </c>
      <c r="W213" t="s">
        <v>31</v>
      </c>
    </row>
    <row r="214" spans="1:23" x14ac:dyDescent="0.25">
      <c r="A214" t="s">
        <v>304</v>
      </c>
      <c r="B214" t="s">
        <v>279</v>
      </c>
      <c r="C214" s="285">
        <v>2</v>
      </c>
      <c r="D214">
        <v>47096.925041831797</v>
      </c>
      <c r="E214">
        <v>28568488.598381799</v>
      </c>
      <c r="F214">
        <v>9949361.4658202492</v>
      </c>
      <c r="G214">
        <v>9996458.3908620905</v>
      </c>
      <c r="H214">
        <v>1.64856201193994E-3</v>
      </c>
      <c r="I214">
        <v>0.164856201193994</v>
      </c>
      <c r="J214">
        <v>4.7113610841299303E-3</v>
      </c>
      <c r="K214" s="286">
        <v>0.47113610841299303</v>
      </c>
      <c r="L214" s="288" t="s">
        <v>53</v>
      </c>
      <c r="M214" s="288">
        <v>2000000</v>
      </c>
      <c r="N214" s="288">
        <v>35</v>
      </c>
      <c r="O214" s="288" t="s">
        <v>59</v>
      </c>
      <c r="P214" s="288">
        <v>10.377442825664543</v>
      </c>
      <c r="Q214" s="288">
        <v>5.1989700043360187</v>
      </c>
      <c r="R214" s="288" t="s">
        <v>29</v>
      </c>
      <c r="S214" s="288">
        <v>2</v>
      </c>
      <c r="T214" s="288" t="s">
        <v>382</v>
      </c>
      <c r="U214" s="291" t="s">
        <v>285</v>
      </c>
      <c r="W214" t="s">
        <v>31</v>
      </c>
    </row>
    <row r="215" spans="1:23" x14ac:dyDescent="0.25">
      <c r="A215" t="s">
        <v>309</v>
      </c>
      <c r="B215" t="s">
        <v>306</v>
      </c>
      <c r="C215" s="285">
        <v>3</v>
      </c>
      <c r="D215">
        <v>817040.226344091</v>
      </c>
      <c r="E215">
        <v>34122203.049926698</v>
      </c>
      <c r="F215">
        <v>18195064.875496801</v>
      </c>
      <c r="G215">
        <v>19012105.101840802</v>
      </c>
      <c r="H215">
        <v>2.39445332749652E-2</v>
      </c>
      <c r="I215">
        <v>2.3944533274965201</v>
      </c>
      <c r="J215">
        <v>4.2974737514204997E-2</v>
      </c>
      <c r="K215" s="286">
        <v>4.2974737514205001</v>
      </c>
      <c r="L215" s="288" t="s">
        <v>28</v>
      </c>
      <c r="M215" s="288">
        <v>10000</v>
      </c>
      <c r="N215" s="288">
        <v>32</v>
      </c>
      <c r="O215" s="288">
        <v>6.7903528631427905</v>
      </c>
      <c r="P215" s="288">
        <v>9.3772441830275373</v>
      </c>
      <c r="Q215" s="288">
        <v>3.5854607295085006</v>
      </c>
      <c r="R215" s="288" t="s">
        <v>29</v>
      </c>
      <c r="S215" s="288">
        <v>5</v>
      </c>
      <c r="T215" s="288" t="s">
        <v>66</v>
      </c>
      <c r="V215" t="s">
        <v>25</v>
      </c>
      <c r="W215" t="s">
        <v>31</v>
      </c>
    </row>
    <row r="216" spans="1:23" x14ac:dyDescent="0.25">
      <c r="A216" t="s">
        <v>360</v>
      </c>
      <c r="B216" t="s">
        <v>358</v>
      </c>
      <c r="C216" s="285">
        <v>2</v>
      </c>
      <c r="D216">
        <v>699273.55616706097</v>
      </c>
      <c r="E216">
        <v>81237869.813169107</v>
      </c>
      <c r="F216">
        <v>27788821.639148101</v>
      </c>
      <c r="G216">
        <v>28488095.1953151</v>
      </c>
      <c r="H216">
        <v>8.6077288557079301E-3</v>
      </c>
      <c r="I216">
        <v>0.86077288557079301</v>
      </c>
      <c r="J216">
        <v>2.4546167491115899E-2</v>
      </c>
      <c r="K216" s="286">
        <v>2.4546167491115898</v>
      </c>
      <c r="L216" s="288" t="s">
        <v>81</v>
      </c>
      <c r="M216" s="288">
        <v>10000</v>
      </c>
      <c r="N216" s="288">
        <v>31</v>
      </c>
      <c r="O216" s="288" t="s">
        <v>59</v>
      </c>
      <c r="P216" s="288" t="s">
        <v>59</v>
      </c>
      <c r="Q216" s="288" t="s">
        <v>59</v>
      </c>
      <c r="R216" s="288" t="s">
        <v>60</v>
      </c>
      <c r="S216" s="288">
        <v>2</v>
      </c>
      <c r="T216" s="288" t="s">
        <v>66</v>
      </c>
      <c r="U216" s="291" t="s">
        <v>285</v>
      </c>
      <c r="V216" t="s">
        <v>25</v>
      </c>
      <c r="W216" t="s">
        <v>31</v>
      </c>
    </row>
    <row r="217" spans="1:23" x14ac:dyDescent="0.25">
      <c r="A217" t="s">
        <v>361</v>
      </c>
      <c r="B217" t="s">
        <v>358</v>
      </c>
      <c r="C217" s="285">
        <v>0</v>
      </c>
      <c r="D217">
        <v>0</v>
      </c>
      <c r="E217">
        <v>55791267.536406897</v>
      </c>
      <c r="F217">
        <v>18459183.620660301</v>
      </c>
      <c r="G217">
        <v>18472845.3768503</v>
      </c>
      <c r="H217" s="1">
        <v>0</v>
      </c>
      <c r="I217">
        <v>0</v>
      </c>
      <c r="J217" s="1">
        <v>0</v>
      </c>
      <c r="K217" s="286">
        <v>0</v>
      </c>
      <c r="L217" s="288" t="s">
        <v>81</v>
      </c>
      <c r="M217" s="288">
        <v>10000</v>
      </c>
      <c r="N217" s="288">
        <v>3</v>
      </c>
      <c r="O217" s="288" t="s">
        <v>59</v>
      </c>
      <c r="P217" s="288" t="s">
        <v>59</v>
      </c>
      <c r="Q217" s="288" t="s">
        <v>59</v>
      </c>
      <c r="R217" s="288" t="s">
        <v>60</v>
      </c>
      <c r="S217" s="288">
        <v>2</v>
      </c>
      <c r="T217" s="288" t="s">
        <v>66</v>
      </c>
      <c r="U217" s="291" t="s">
        <v>285</v>
      </c>
      <c r="V217" t="s">
        <v>25</v>
      </c>
      <c r="W217" t="s">
        <v>26</v>
      </c>
    </row>
    <row r="218" spans="1:23" x14ac:dyDescent="0.25">
      <c r="A218" t="s">
        <v>362</v>
      </c>
      <c r="B218" t="s">
        <v>358</v>
      </c>
      <c r="C218" s="285">
        <v>0</v>
      </c>
      <c r="D218">
        <v>0</v>
      </c>
      <c r="E218">
        <v>75832792.034495607</v>
      </c>
      <c r="F218">
        <v>20363188.454249199</v>
      </c>
      <c r="G218">
        <v>20392309.337337699</v>
      </c>
      <c r="H218" s="1">
        <v>0</v>
      </c>
      <c r="I218">
        <v>0</v>
      </c>
      <c r="J218" s="1">
        <v>0</v>
      </c>
      <c r="K218" s="286">
        <v>0</v>
      </c>
      <c r="L218" s="288" t="s">
        <v>81</v>
      </c>
      <c r="M218" s="288">
        <v>10000</v>
      </c>
      <c r="N218" s="288">
        <v>24</v>
      </c>
      <c r="O218" s="288" t="s">
        <v>59</v>
      </c>
      <c r="P218" s="288" t="s">
        <v>59</v>
      </c>
      <c r="Q218" s="288" t="s">
        <v>59</v>
      </c>
      <c r="R218" s="288" t="s">
        <v>60</v>
      </c>
      <c r="S218" s="288">
        <v>5</v>
      </c>
      <c r="T218" s="288" t="s">
        <v>66</v>
      </c>
      <c r="U218" s="291" t="s">
        <v>285</v>
      </c>
      <c r="V218" t="s">
        <v>25</v>
      </c>
      <c r="W218" t="s">
        <v>26</v>
      </c>
    </row>
    <row r="219" spans="1:23" x14ac:dyDescent="0.25">
      <c r="A219" t="s">
        <v>363</v>
      </c>
      <c r="B219" t="s">
        <v>358</v>
      </c>
      <c r="C219" s="285">
        <v>4</v>
      </c>
      <c r="D219">
        <v>3568121.1323050801</v>
      </c>
      <c r="E219">
        <v>61669852.041639298</v>
      </c>
      <c r="F219">
        <v>19584162.130299199</v>
      </c>
      <c r="G219">
        <v>23152283.2626043</v>
      </c>
      <c r="H219">
        <v>5.7858435105307103E-2</v>
      </c>
      <c r="I219">
        <v>5.78584351053071</v>
      </c>
      <c r="J219">
        <v>0.154115302228888</v>
      </c>
      <c r="K219" s="286">
        <v>15.4115302228888</v>
      </c>
      <c r="L219" s="288" t="s">
        <v>81</v>
      </c>
      <c r="M219" s="288">
        <v>10000</v>
      </c>
      <c r="N219" s="288">
        <v>33</v>
      </c>
      <c r="O219" s="288" t="s">
        <v>59</v>
      </c>
      <c r="P219" s="288" t="s">
        <v>59</v>
      </c>
      <c r="Q219" s="288" t="s">
        <v>59</v>
      </c>
      <c r="R219" s="288" t="s">
        <v>60</v>
      </c>
      <c r="S219" s="288">
        <v>2</v>
      </c>
      <c r="T219" s="288" t="s">
        <v>66</v>
      </c>
      <c r="U219" s="291" t="s">
        <v>285</v>
      </c>
      <c r="V219" t="s">
        <v>25</v>
      </c>
      <c r="W219" t="s">
        <v>31</v>
      </c>
    </row>
    <row r="220" spans="1:23" x14ac:dyDescent="0.25">
      <c r="A220" t="s">
        <v>364</v>
      </c>
      <c r="B220" t="s">
        <v>358</v>
      </c>
      <c r="C220" s="285">
        <v>0</v>
      </c>
      <c r="D220">
        <v>0</v>
      </c>
      <c r="E220">
        <v>83521885.595090404</v>
      </c>
      <c r="F220">
        <v>25101352.331427298</v>
      </c>
      <c r="G220">
        <v>25118322.664090499</v>
      </c>
      <c r="H220" s="1">
        <v>0</v>
      </c>
      <c r="I220">
        <v>0</v>
      </c>
      <c r="J220" s="1">
        <v>0</v>
      </c>
      <c r="K220" s="286">
        <v>0</v>
      </c>
      <c r="L220" s="288" t="s">
        <v>81</v>
      </c>
      <c r="M220" s="288">
        <v>10000</v>
      </c>
      <c r="N220" s="288">
        <v>4</v>
      </c>
      <c r="O220" s="288" t="s">
        <v>59</v>
      </c>
      <c r="P220" s="288" t="s">
        <v>59</v>
      </c>
      <c r="Q220" s="288" t="s">
        <v>59</v>
      </c>
      <c r="R220" s="288" t="s">
        <v>60</v>
      </c>
      <c r="S220" s="288">
        <v>2</v>
      </c>
      <c r="T220" s="288" t="s">
        <v>66</v>
      </c>
      <c r="U220" s="291" t="s">
        <v>285</v>
      </c>
      <c r="V220" t="s">
        <v>25</v>
      </c>
      <c r="W220" t="s">
        <v>26</v>
      </c>
    </row>
    <row r="221" spans="1:23" x14ac:dyDescent="0.25">
      <c r="A221" t="s">
        <v>365</v>
      </c>
      <c r="B221" t="s">
        <v>358</v>
      </c>
      <c r="C221" s="285">
        <v>0</v>
      </c>
      <c r="D221">
        <v>0</v>
      </c>
      <c r="E221">
        <v>100365017.790454</v>
      </c>
      <c r="F221">
        <v>28892461.600946601</v>
      </c>
      <c r="G221">
        <v>28918137.702761501</v>
      </c>
      <c r="H221" s="1">
        <v>0</v>
      </c>
      <c r="I221">
        <v>0</v>
      </c>
      <c r="J221" s="1">
        <v>0</v>
      </c>
      <c r="K221" s="286">
        <v>0</v>
      </c>
      <c r="L221" s="288" t="s">
        <v>81</v>
      </c>
      <c r="M221" s="288">
        <v>10000</v>
      </c>
      <c r="N221" s="288">
        <v>37</v>
      </c>
      <c r="O221" s="288" t="s">
        <v>59</v>
      </c>
      <c r="P221" s="288" t="s">
        <v>59</v>
      </c>
      <c r="Q221" s="288" t="s">
        <v>59</v>
      </c>
      <c r="R221" s="288" t="s">
        <v>60</v>
      </c>
      <c r="S221" s="288">
        <v>5</v>
      </c>
      <c r="T221" s="288" t="s">
        <v>66</v>
      </c>
      <c r="U221" s="291" t="s">
        <v>285</v>
      </c>
      <c r="V221" t="s">
        <v>25</v>
      </c>
      <c r="W221" t="s">
        <v>26</v>
      </c>
    </row>
    <row r="222" spans="1:23" x14ac:dyDescent="0.25">
      <c r="A222" t="s">
        <v>368</v>
      </c>
      <c r="B222" t="s">
        <v>369</v>
      </c>
      <c r="C222" s="285">
        <v>3</v>
      </c>
      <c r="D222">
        <v>2386241.5006335299</v>
      </c>
      <c r="E222">
        <v>77401294.899643302</v>
      </c>
      <c r="F222">
        <v>34260727.256721303</v>
      </c>
      <c r="G222">
        <v>36646968.757354803</v>
      </c>
      <c r="H222">
        <v>3.0829477772012399E-2</v>
      </c>
      <c r="I222">
        <v>3.0829477772012401</v>
      </c>
      <c r="J222">
        <v>6.5114294075267004E-2</v>
      </c>
      <c r="K222" s="286">
        <v>6.5114294075267001</v>
      </c>
      <c r="L222" s="288" t="s">
        <v>28</v>
      </c>
      <c r="M222" s="288">
        <v>5000</v>
      </c>
      <c r="N222" s="288">
        <v>33</v>
      </c>
      <c r="O222" s="288" t="s">
        <v>59</v>
      </c>
      <c r="P222" s="288" t="s">
        <v>59</v>
      </c>
      <c r="Q222" s="288" t="s">
        <v>59</v>
      </c>
      <c r="R222" s="288" t="s">
        <v>29</v>
      </c>
      <c r="S222" s="288">
        <v>5</v>
      </c>
      <c r="T222" s="288" t="s">
        <v>66</v>
      </c>
      <c r="U222" s="291" t="s">
        <v>338</v>
      </c>
      <c r="V222" t="s">
        <v>370</v>
      </c>
      <c r="W222" t="s">
        <v>31</v>
      </c>
    </row>
    <row r="223" spans="1:23" x14ac:dyDescent="0.25">
      <c r="A223" t="s">
        <v>371</v>
      </c>
      <c r="B223" t="s">
        <v>369</v>
      </c>
      <c r="C223" s="285">
        <v>3</v>
      </c>
      <c r="D223">
        <v>2808897.6689189901</v>
      </c>
      <c r="E223">
        <v>68645721.976131901</v>
      </c>
      <c r="F223">
        <v>30270568.4281624</v>
      </c>
      <c r="G223">
        <v>33079466.0970814</v>
      </c>
      <c r="H223">
        <v>4.09187577617093E-2</v>
      </c>
      <c r="I223">
        <v>4.0918757761709301</v>
      </c>
      <c r="J223">
        <v>8.4913633753200601E-2</v>
      </c>
      <c r="K223" s="286">
        <v>8.4913633753200504</v>
      </c>
      <c r="L223" s="288" t="s">
        <v>28</v>
      </c>
      <c r="M223" s="288">
        <v>5000</v>
      </c>
      <c r="N223" s="288">
        <v>25</v>
      </c>
      <c r="O223" s="288" t="s">
        <v>59</v>
      </c>
      <c r="P223" s="288" t="s">
        <v>59</v>
      </c>
      <c r="Q223" s="288" t="s">
        <v>59</v>
      </c>
      <c r="R223" s="288" t="s">
        <v>29</v>
      </c>
      <c r="S223" s="288">
        <v>5</v>
      </c>
      <c r="T223" s="288" t="s">
        <v>66</v>
      </c>
      <c r="U223" s="291" t="s">
        <v>338</v>
      </c>
      <c r="V223" t="s">
        <v>370</v>
      </c>
      <c r="W223" t="s">
        <v>31</v>
      </c>
    </row>
    <row r="224" spans="1:23" x14ac:dyDescent="0.25">
      <c r="A224" t="s">
        <v>372</v>
      </c>
      <c r="B224" t="s">
        <v>369</v>
      </c>
      <c r="C224" s="285">
        <v>2</v>
      </c>
      <c r="D224">
        <v>1554282.6234409299</v>
      </c>
      <c r="E224">
        <v>83846581.313503593</v>
      </c>
      <c r="F224">
        <v>35308775.449326999</v>
      </c>
      <c r="G224">
        <v>36863058.072767898</v>
      </c>
      <c r="H224">
        <v>1.85372211853151E-2</v>
      </c>
      <c r="I224">
        <v>1.85372211853151</v>
      </c>
      <c r="J224">
        <v>4.2163691910008197E-2</v>
      </c>
      <c r="K224" s="286">
        <v>4.2163691910008199</v>
      </c>
      <c r="L224" s="288" t="s">
        <v>28</v>
      </c>
      <c r="M224" s="288">
        <v>5000</v>
      </c>
      <c r="N224" s="288">
        <v>27</v>
      </c>
      <c r="O224" s="288" t="s">
        <v>59</v>
      </c>
      <c r="P224" s="288" t="s">
        <v>59</v>
      </c>
      <c r="Q224" s="288" t="s">
        <v>59</v>
      </c>
      <c r="R224" s="288" t="s">
        <v>29</v>
      </c>
      <c r="S224" s="288">
        <v>5</v>
      </c>
      <c r="T224" s="288" t="s">
        <v>66</v>
      </c>
      <c r="U224" s="291" t="s">
        <v>338</v>
      </c>
      <c r="V224" t="s">
        <v>370</v>
      </c>
      <c r="W224" t="s">
        <v>31</v>
      </c>
    </row>
    <row r="225" spans="1:23" x14ac:dyDescent="0.25">
      <c r="A225" t="s">
        <v>373</v>
      </c>
      <c r="B225" t="s">
        <v>369</v>
      </c>
      <c r="C225" s="285">
        <v>3</v>
      </c>
      <c r="D225">
        <v>3717206.7330191699</v>
      </c>
      <c r="E225">
        <v>78613692.376070097</v>
      </c>
      <c r="F225">
        <v>41005173.852789</v>
      </c>
      <c r="G225">
        <v>44722380.585808203</v>
      </c>
      <c r="H225">
        <v>4.7284469418341198E-2</v>
      </c>
      <c r="I225">
        <v>4.72844694183412</v>
      </c>
      <c r="J225">
        <v>8.3117371757235006E-2</v>
      </c>
      <c r="K225" s="286">
        <v>8.3117371757235006</v>
      </c>
      <c r="L225" s="288" t="s">
        <v>28</v>
      </c>
      <c r="M225" s="288">
        <v>5000</v>
      </c>
      <c r="N225" s="288">
        <v>31</v>
      </c>
      <c r="O225" s="288" t="s">
        <v>59</v>
      </c>
      <c r="P225" s="288" t="s">
        <v>59</v>
      </c>
      <c r="Q225" s="288" t="s">
        <v>59</v>
      </c>
      <c r="R225" s="288" t="s">
        <v>29</v>
      </c>
      <c r="S225" s="288">
        <v>5</v>
      </c>
      <c r="T225" s="288" t="s">
        <v>66</v>
      </c>
      <c r="U225" s="291" t="s">
        <v>338</v>
      </c>
      <c r="V225" t="s">
        <v>370</v>
      </c>
      <c r="W225" t="s">
        <v>31</v>
      </c>
    </row>
    <row r="226" spans="1:23" x14ac:dyDescent="0.25">
      <c r="A226" t="s">
        <v>374</v>
      </c>
      <c r="B226" t="s">
        <v>369</v>
      </c>
      <c r="C226" s="285">
        <v>3</v>
      </c>
      <c r="D226">
        <v>4350607.81094574</v>
      </c>
      <c r="E226">
        <v>63334364.3640294</v>
      </c>
      <c r="F226">
        <v>27128265.5537389</v>
      </c>
      <c r="G226">
        <v>31478873.3646846</v>
      </c>
      <c r="H226">
        <v>6.86926892632818E-2</v>
      </c>
      <c r="I226">
        <v>6.8692689263281803</v>
      </c>
      <c r="J226">
        <v>0.13820722744882499</v>
      </c>
      <c r="K226" s="286">
        <v>13.820722744882501</v>
      </c>
      <c r="L226" s="288" t="s">
        <v>28</v>
      </c>
      <c r="M226" s="288">
        <v>5000</v>
      </c>
      <c r="N226" s="288">
        <v>23</v>
      </c>
      <c r="O226" s="288" t="s">
        <v>59</v>
      </c>
      <c r="P226" s="288" t="s">
        <v>59</v>
      </c>
      <c r="Q226" s="288" t="s">
        <v>59</v>
      </c>
      <c r="R226" s="288" t="s">
        <v>29</v>
      </c>
      <c r="S226" s="288">
        <v>5</v>
      </c>
      <c r="T226" s="288" t="s">
        <v>66</v>
      </c>
      <c r="U226" s="291" t="s">
        <v>338</v>
      </c>
      <c r="V226" t="s">
        <v>370</v>
      </c>
      <c r="W226" t="s">
        <v>31</v>
      </c>
    </row>
    <row r="227" spans="1:23" x14ac:dyDescent="0.25">
      <c r="A227" t="s">
        <v>375</v>
      </c>
      <c r="B227" t="s">
        <v>369</v>
      </c>
      <c r="C227" s="285">
        <v>3</v>
      </c>
      <c r="D227">
        <v>3208414.8670779802</v>
      </c>
      <c r="E227">
        <v>87513403.891048998</v>
      </c>
      <c r="F227">
        <v>39917706.860673003</v>
      </c>
      <c r="G227">
        <v>43126121.727751002</v>
      </c>
      <c r="H227">
        <v>3.6661982329842198E-2</v>
      </c>
      <c r="I227">
        <v>3.66619823298422</v>
      </c>
      <c r="J227">
        <v>7.4396090780716198E-2</v>
      </c>
      <c r="K227" s="286">
        <v>7.4396090780716202</v>
      </c>
      <c r="L227" s="288" t="s">
        <v>269</v>
      </c>
      <c r="M227" s="288">
        <v>5000</v>
      </c>
      <c r="N227" s="288">
        <v>29</v>
      </c>
      <c r="O227" s="288" t="s">
        <v>59</v>
      </c>
      <c r="P227" s="288" t="s">
        <v>59</v>
      </c>
      <c r="Q227" s="288" t="s">
        <v>59</v>
      </c>
      <c r="R227" s="288" t="s">
        <v>29</v>
      </c>
      <c r="S227" s="288">
        <v>5</v>
      </c>
      <c r="T227" s="288" t="s">
        <v>66</v>
      </c>
      <c r="U227" s="291" t="s">
        <v>338</v>
      </c>
      <c r="V227" t="s">
        <v>370</v>
      </c>
      <c r="W227" t="s">
        <v>31</v>
      </c>
    </row>
    <row r="228" spans="1:23" x14ac:dyDescent="0.25">
      <c r="A228" t="s">
        <v>376</v>
      </c>
      <c r="B228" t="s">
        <v>369</v>
      </c>
      <c r="C228" s="285">
        <v>3</v>
      </c>
      <c r="D228">
        <v>2398034.56981338</v>
      </c>
      <c r="E228">
        <v>86885481.461075306</v>
      </c>
      <c r="F228">
        <v>42496293.675046302</v>
      </c>
      <c r="G228">
        <v>44894328.244859599</v>
      </c>
      <c r="H228">
        <v>2.75999456927415E-2</v>
      </c>
      <c r="I228">
        <v>2.7599945692741499</v>
      </c>
      <c r="J228">
        <v>5.3415089690933303E-2</v>
      </c>
      <c r="K228" s="286">
        <v>5.3415089690933302</v>
      </c>
      <c r="L228" s="288" t="s">
        <v>269</v>
      </c>
      <c r="M228" s="288">
        <v>5000</v>
      </c>
      <c r="N228" s="288">
        <v>30</v>
      </c>
      <c r="O228" s="288" t="s">
        <v>59</v>
      </c>
      <c r="P228" s="288" t="s">
        <v>59</v>
      </c>
      <c r="Q228" s="288" t="s">
        <v>59</v>
      </c>
      <c r="R228" s="288" t="s">
        <v>29</v>
      </c>
      <c r="S228" s="288">
        <v>5</v>
      </c>
      <c r="T228" s="288" t="s">
        <v>66</v>
      </c>
      <c r="U228" s="291" t="s">
        <v>338</v>
      </c>
      <c r="V228" t="s">
        <v>370</v>
      </c>
      <c r="W228" t="s">
        <v>31</v>
      </c>
    </row>
    <row r="229" spans="1:23" x14ac:dyDescent="0.25">
      <c r="A229" t="s">
        <v>377</v>
      </c>
      <c r="B229" t="s">
        <v>369</v>
      </c>
      <c r="C229" s="285">
        <v>2</v>
      </c>
      <c r="D229">
        <v>400227.586820781</v>
      </c>
      <c r="E229">
        <v>50379106.933355696</v>
      </c>
      <c r="F229">
        <v>24204846.864983</v>
      </c>
      <c r="G229">
        <v>24605074.4518038</v>
      </c>
      <c r="H229">
        <v>7.9443168246357294E-3</v>
      </c>
      <c r="I229">
        <v>0.79443168246357299</v>
      </c>
      <c r="J229">
        <v>1.6266058759738401E-2</v>
      </c>
      <c r="K229" s="286">
        <v>1.62660587597384</v>
      </c>
      <c r="L229" s="288" t="s">
        <v>269</v>
      </c>
      <c r="M229" s="288">
        <v>5000</v>
      </c>
      <c r="N229" s="288">
        <v>31</v>
      </c>
      <c r="O229" s="288" t="s">
        <v>59</v>
      </c>
      <c r="P229" s="288" t="s">
        <v>59</v>
      </c>
      <c r="Q229" s="288" t="s">
        <v>59</v>
      </c>
      <c r="R229" s="288" t="s">
        <v>29</v>
      </c>
      <c r="S229" s="288">
        <v>5</v>
      </c>
      <c r="T229" s="288" t="s">
        <v>66</v>
      </c>
      <c r="U229" s="291" t="s">
        <v>338</v>
      </c>
      <c r="V229" t="s">
        <v>370</v>
      </c>
      <c r="W229" t="s">
        <v>31</v>
      </c>
    </row>
    <row r="230" spans="1:23" x14ac:dyDescent="0.25">
      <c r="A230" t="s">
        <v>378</v>
      </c>
      <c r="B230" t="s">
        <v>369</v>
      </c>
      <c r="C230" s="285">
        <v>3</v>
      </c>
      <c r="D230">
        <v>437933.41527974699</v>
      </c>
      <c r="E230">
        <v>29986116.229169801</v>
      </c>
      <c r="F230">
        <v>14456856.621613299</v>
      </c>
      <c r="G230">
        <v>14894790.036893001</v>
      </c>
      <c r="H230">
        <v>1.46045393785853E-2</v>
      </c>
      <c r="I230">
        <v>1.4604539378585299</v>
      </c>
      <c r="J230">
        <v>2.9401785066793501E-2</v>
      </c>
      <c r="K230" s="286">
        <v>2.94017850667935</v>
      </c>
      <c r="L230" s="288" t="s">
        <v>269</v>
      </c>
      <c r="M230" s="288">
        <v>5000</v>
      </c>
      <c r="N230" s="288">
        <v>27</v>
      </c>
      <c r="O230" s="288" t="s">
        <v>59</v>
      </c>
      <c r="P230" s="288" t="s">
        <v>59</v>
      </c>
      <c r="Q230" s="288" t="s">
        <v>59</v>
      </c>
      <c r="R230" s="288" t="s">
        <v>29</v>
      </c>
      <c r="S230" s="288">
        <v>5</v>
      </c>
      <c r="T230" s="288" t="s">
        <v>66</v>
      </c>
      <c r="U230" s="291" t="s">
        <v>338</v>
      </c>
      <c r="V230" t="s">
        <v>370</v>
      </c>
      <c r="W230" t="s">
        <v>31</v>
      </c>
    </row>
    <row r="231" spans="1:23" x14ac:dyDescent="0.25">
      <c r="A231" t="s">
        <v>379</v>
      </c>
      <c r="B231" t="s">
        <v>369</v>
      </c>
      <c r="C231" s="285">
        <v>3</v>
      </c>
      <c r="D231">
        <v>3649822.8067192999</v>
      </c>
      <c r="E231">
        <v>103922282.582948</v>
      </c>
      <c r="F231">
        <v>43233349.912866399</v>
      </c>
      <c r="G231">
        <v>46883172.719585702</v>
      </c>
      <c r="H231">
        <v>3.51206951580001E-2</v>
      </c>
      <c r="I231">
        <v>3.5120695158000101</v>
      </c>
      <c r="J231">
        <v>7.7849313410364801E-2</v>
      </c>
      <c r="K231" s="286">
        <v>7.7849313410364802</v>
      </c>
      <c r="L231" s="288" t="s">
        <v>269</v>
      </c>
      <c r="M231" s="288">
        <v>5000</v>
      </c>
      <c r="N231" s="288">
        <v>36</v>
      </c>
      <c r="O231" s="288" t="s">
        <v>59</v>
      </c>
      <c r="P231" s="288" t="s">
        <v>59</v>
      </c>
      <c r="Q231" s="288" t="s">
        <v>59</v>
      </c>
      <c r="R231" s="288" t="s">
        <v>29</v>
      </c>
      <c r="S231" s="288">
        <v>5</v>
      </c>
      <c r="T231" s="288" t="s">
        <v>66</v>
      </c>
      <c r="V231" t="s">
        <v>380</v>
      </c>
      <c r="W231" t="s">
        <v>31</v>
      </c>
    </row>
    <row r="232" spans="1:23" x14ac:dyDescent="0.25">
      <c r="A232" s="3" t="s">
        <v>387</v>
      </c>
      <c r="B232" s="3" t="s">
        <v>369</v>
      </c>
      <c r="C232" s="285">
        <v>4</v>
      </c>
      <c r="D232">
        <v>2634789.0932563501</v>
      </c>
      <c r="E232">
        <v>88103772.180036306</v>
      </c>
      <c r="F232">
        <v>40175468.386038303</v>
      </c>
      <c r="G232">
        <v>42810257.479294598</v>
      </c>
      <c r="H232">
        <v>2.9905519685039898E-2</v>
      </c>
      <c r="I232">
        <v>2.9905519685039899</v>
      </c>
      <c r="J232">
        <v>6.1545742735387002E-2</v>
      </c>
      <c r="K232" s="286">
        <v>6.1545742735387003</v>
      </c>
      <c r="L232" s="288" t="s">
        <v>269</v>
      </c>
      <c r="M232" s="288">
        <v>5000</v>
      </c>
      <c r="N232" s="293"/>
      <c r="O232" s="288" t="s">
        <v>59</v>
      </c>
      <c r="P232" s="288" t="s">
        <v>59</v>
      </c>
      <c r="Q232" s="288" t="s">
        <v>59</v>
      </c>
      <c r="R232" s="288" t="s">
        <v>29</v>
      </c>
      <c r="S232" s="288">
        <v>5</v>
      </c>
      <c r="T232" s="288" t="s">
        <v>66</v>
      </c>
      <c r="V232" t="s">
        <v>380</v>
      </c>
      <c r="W232" t="s">
        <v>31</v>
      </c>
    </row>
    <row r="233" spans="1:23" x14ac:dyDescent="0.25">
      <c r="A233" s="3" t="s">
        <v>381</v>
      </c>
      <c r="B233" s="3" t="s">
        <v>369</v>
      </c>
      <c r="C233" s="285">
        <v>3</v>
      </c>
      <c r="D233">
        <v>443769.75064394303</v>
      </c>
      <c r="E233">
        <v>51434019.426095203</v>
      </c>
      <c r="F233">
        <v>23514350.312309101</v>
      </c>
      <c r="G233">
        <v>23958120.062952999</v>
      </c>
      <c r="H233">
        <v>8.6279422762513998E-3</v>
      </c>
      <c r="I233">
        <v>0.86279422762514002</v>
      </c>
      <c r="J233">
        <v>1.8522728389284301E-2</v>
      </c>
      <c r="K233" s="286">
        <v>1.85227283892843</v>
      </c>
      <c r="L233" s="288" t="s">
        <v>269</v>
      </c>
      <c r="M233" s="288">
        <v>5000</v>
      </c>
      <c r="N233" s="293"/>
      <c r="O233" s="288" t="s">
        <v>59</v>
      </c>
      <c r="P233" s="288" t="s">
        <v>59</v>
      </c>
      <c r="Q233" s="288" t="s">
        <v>59</v>
      </c>
      <c r="R233" s="288" t="s">
        <v>29</v>
      </c>
      <c r="S233" s="288">
        <v>5</v>
      </c>
      <c r="T233" s="288" t="s">
        <v>66</v>
      </c>
      <c r="V233" t="s">
        <v>380</v>
      </c>
      <c r="W233" t="s">
        <v>31</v>
      </c>
    </row>
    <row r="234" spans="1:23" x14ac:dyDescent="0.25">
      <c r="A234" t="s">
        <v>340</v>
      </c>
      <c r="B234" t="s">
        <v>337</v>
      </c>
      <c r="C234" s="285">
        <v>3</v>
      </c>
      <c r="D234">
        <v>1722834.79167841</v>
      </c>
      <c r="E234">
        <v>75280622.594778404</v>
      </c>
      <c r="F234">
        <v>27020082.8890756</v>
      </c>
      <c r="G234">
        <v>28742917.680753998</v>
      </c>
      <c r="H234">
        <v>2.2885501372007899E-2</v>
      </c>
      <c r="I234">
        <v>2.2885501372007901</v>
      </c>
      <c r="J234">
        <v>5.99394539835462E-2</v>
      </c>
      <c r="K234" s="286">
        <v>5.9939453983546196</v>
      </c>
      <c r="L234" s="288" t="s">
        <v>28</v>
      </c>
      <c r="M234" s="288">
        <v>5000</v>
      </c>
      <c r="N234" s="288">
        <v>23</v>
      </c>
      <c r="O234" s="288" t="s">
        <v>59</v>
      </c>
      <c r="P234" s="288" t="s">
        <v>59</v>
      </c>
      <c r="Q234" s="288" t="s">
        <v>59</v>
      </c>
      <c r="R234" s="288" t="s">
        <v>29</v>
      </c>
      <c r="S234" s="288">
        <v>2</v>
      </c>
      <c r="T234" s="288" t="s">
        <v>66</v>
      </c>
      <c r="U234" s="291" t="s">
        <v>338</v>
      </c>
      <c r="V234" t="s">
        <v>25</v>
      </c>
      <c r="W234" t="s">
        <v>31</v>
      </c>
    </row>
    <row r="235" spans="1:23" x14ac:dyDescent="0.25">
      <c r="A235" t="s">
        <v>341</v>
      </c>
      <c r="B235" t="s">
        <v>337</v>
      </c>
      <c r="C235" s="285">
        <v>2</v>
      </c>
      <c r="D235">
        <v>476453.80759745499</v>
      </c>
      <c r="E235">
        <v>56556819.134574898</v>
      </c>
      <c r="F235">
        <v>25452859.095845599</v>
      </c>
      <c r="G235">
        <v>25929312.903443102</v>
      </c>
      <c r="H235">
        <v>8.4243388310744592E-3</v>
      </c>
      <c r="I235">
        <v>0.84243388310744605</v>
      </c>
      <c r="J235">
        <v>1.83751034734972E-2</v>
      </c>
      <c r="K235" s="286">
        <v>1.8375103473497201</v>
      </c>
      <c r="L235" s="288" t="s">
        <v>28</v>
      </c>
      <c r="M235" s="288">
        <v>5000</v>
      </c>
      <c r="N235" s="288">
        <v>14</v>
      </c>
      <c r="O235" s="288" t="s">
        <v>59</v>
      </c>
      <c r="P235" s="288" t="s">
        <v>59</v>
      </c>
      <c r="Q235" s="288" t="s">
        <v>59</v>
      </c>
      <c r="R235" s="288" t="s">
        <v>29</v>
      </c>
      <c r="S235" s="288">
        <v>2</v>
      </c>
      <c r="T235" s="288" t="s">
        <v>66</v>
      </c>
      <c r="U235" s="291" t="s">
        <v>338</v>
      </c>
      <c r="V235" t="s">
        <v>25</v>
      </c>
      <c r="W235" t="s">
        <v>31</v>
      </c>
    </row>
    <row r="236" spans="1:23" x14ac:dyDescent="0.25">
      <c r="A236" t="s">
        <v>342</v>
      </c>
      <c r="B236" t="s">
        <v>337</v>
      </c>
      <c r="C236" s="285">
        <v>3</v>
      </c>
      <c r="D236">
        <v>863331.05775648204</v>
      </c>
      <c r="E236">
        <v>67256952.860482603</v>
      </c>
      <c r="F236">
        <v>23369899.440220602</v>
      </c>
      <c r="G236">
        <v>24233230.4979771</v>
      </c>
      <c r="H236">
        <v>1.28363094228691E-2</v>
      </c>
      <c r="I236">
        <v>1.2836309422869101</v>
      </c>
      <c r="J236">
        <v>3.5625916974979702E-2</v>
      </c>
      <c r="K236" s="286">
        <v>3.5625916974979699</v>
      </c>
      <c r="L236" s="288" t="s">
        <v>28</v>
      </c>
      <c r="M236" s="288">
        <v>5000</v>
      </c>
      <c r="N236" s="288">
        <v>22</v>
      </c>
      <c r="O236" s="288" t="s">
        <v>59</v>
      </c>
      <c r="P236" s="288" t="s">
        <v>59</v>
      </c>
      <c r="Q236" s="288" t="s">
        <v>59</v>
      </c>
      <c r="R236" s="288" t="s">
        <v>29</v>
      </c>
      <c r="S236" s="288">
        <v>2</v>
      </c>
      <c r="T236" s="288" t="s">
        <v>66</v>
      </c>
      <c r="U236" s="291" t="s">
        <v>338</v>
      </c>
      <c r="V236" t="s">
        <v>25</v>
      </c>
      <c r="W236" t="s">
        <v>31</v>
      </c>
    </row>
    <row r="237" spans="1:23" x14ac:dyDescent="0.25">
      <c r="A237" t="s">
        <v>343</v>
      </c>
      <c r="B237" t="s">
        <v>337</v>
      </c>
      <c r="C237" s="285">
        <v>2</v>
      </c>
      <c r="D237">
        <v>39795.5517496881</v>
      </c>
      <c r="E237">
        <v>76685660.625589594</v>
      </c>
      <c r="F237">
        <v>27353007.416336302</v>
      </c>
      <c r="G237">
        <v>27392802.968086001</v>
      </c>
      <c r="H237">
        <v>5.18943847194406E-4</v>
      </c>
      <c r="I237">
        <v>5.1894384719440599E-2</v>
      </c>
      <c r="J237">
        <v>1.4527739930832099E-3</v>
      </c>
      <c r="K237" s="286">
        <v>0.14527739930832101</v>
      </c>
      <c r="L237" s="288" t="s">
        <v>28</v>
      </c>
      <c r="M237" s="288">
        <v>5000</v>
      </c>
      <c r="N237" s="288">
        <v>8</v>
      </c>
      <c r="O237" s="288" t="s">
        <v>59</v>
      </c>
      <c r="P237" s="288" t="s">
        <v>59</v>
      </c>
      <c r="Q237" s="288" t="s">
        <v>59</v>
      </c>
      <c r="R237" s="288" t="s">
        <v>29</v>
      </c>
      <c r="S237" s="288">
        <v>2</v>
      </c>
      <c r="T237" s="288" t="s">
        <v>66</v>
      </c>
      <c r="U237" s="291" t="s">
        <v>338</v>
      </c>
      <c r="V237" t="s">
        <v>25</v>
      </c>
      <c r="W237" t="s">
        <v>31</v>
      </c>
    </row>
    <row r="238" spans="1:23" x14ac:dyDescent="0.25">
      <c r="A238" t="s">
        <v>344</v>
      </c>
      <c r="B238" t="s">
        <v>337</v>
      </c>
      <c r="C238" s="285">
        <v>4</v>
      </c>
      <c r="D238">
        <v>6353140.3470590804</v>
      </c>
      <c r="E238">
        <v>64660211.742505901</v>
      </c>
      <c r="F238">
        <v>29970940.062080398</v>
      </c>
      <c r="G238">
        <v>36324080.409139499</v>
      </c>
      <c r="H238">
        <v>9.8254245939666501E-2</v>
      </c>
      <c r="I238">
        <v>9.82542459396665</v>
      </c>
      <c r="J238">
        <v>0.174901615553646</v>
      </c>
      <c r="K238" s="286">
        <v>17.490161555364601</v>
      </c>
      <c r="L238" s="288" t="s">
        <v>28</v>
      </c>
      <c r="M238" s="288">
        <v>5000</v>
      </c>
      <c r="N238" s="288">
        <v>26</v>
      </c>
      <c r="O238" s="288" t="s">
        <v>59</v>
      </c>
      <c r="P238" s="288" t="s">
        <v>59</v>
      </c>
      <c r="Q238" s="288" t="s">
        <v>59</v>
      </c>
      <c r="R238" s="288" t="s">
        <v>29</v>
      </c>
      <c r="S238" s="288">
        <v>6</v>
      </c>
      <c r="T238" s="288" t="s">
        <v>66</v>
      </c>
      <c r="U238" s="291" t="s">
        <v>338</v>
      </c>
      <c r="V238" t="s">
        <v>25</v>
      </c>
      <c r="W238" t="s">
        <v>31</v>
      </c>
    </row>
    <row r="239" spans="1:23" x14ac:dyDescent="0.25">
      <c r="A239" t="s">
        <v>345</v>
      </c>
      <c r="B239" t="s">
        <v>337</v>
      </c>
      <c r="C239" s="285">
        <v>4</v>
      </c>
      <c r="D239">
        <v>10519827.8537024</v>
      </c>
      <c r="E239">
        <v>89285849.783479407</v>
      </c>
      <c r="F239">
        <v>41609000.090698197</v>
      </c>
      <c r="G239">
        <v>52128827.944400698</v>
      </c>
      <c r="H239">
        <v>0.117821893157911</v>
      </c>
      <c r="I239">
        <v>11.782189315791101</v>
      </c>
      <c r="J239">
        <v>0.20180441933056001</v>
      </c>
      <c r="K239" s="286">
        <v>20.180441933055999</v>
      </c>
      <c r="L239" s="288" t="s">
        <v>28</v>
      </c>
      <c r="M239" s="288">
        <v>5000</v>
      </c>
      <c r="N239" s="288">
        <v>27</v>
      </c>
      <c r="O239" s="288" t="s">
        <v>59</v>
      </c>
      <c r="P239" s="288" t="s">
        <v>59</v>
      </c>
      <c r="Q239" s="288" t="s">
        <v>59</v>
      </c>
      <c r="R239" s="288" t="s">
        <v>29</v>
      </c>
      <c r="S239" s="288">
        <v>6</v>
      </c>
      <c r="T239" s="288" t="s">
        <v>66</v>
      </c>
      <c r="U239" s="291" t="s">
        <v>338</v>
      </c>
      <c r="V239" t="s">
        <v>25</v>
      </c>
      <c r="W239" t="s">
        <v>31</v>
      </c>
    </row>
    <row r="240" spans="1:23" x14ac:dyDescent="0.25">
      <c r="A240" t="s">
        <v>346</v>
      </c>
      <c r="B240" t="s">
        <v>337</v>
      </c>
      <c r="C240" s="285">
        <v>4</v>
      </c>
      <c r="D240">
        <v>9567456.6511715204</v>
      </c>
      <c r="E240">
        <v>73648575.441313997</v>
      </c>
      <c r="F240">
        <v>38777112.571093298</v>
      </c>
      <c r="G240">
        <v>48344569.222264901</v>
      </c>
      <c r="H240">
        <v>0.129906879988401</v>
      </c>
      <c r="I240">
        <v>12.9906879988401</v>
      </c>
      <c r="J240">
        <v>0.19790137351695</v>
      </c>
      <c r="K240" s="286">
        <v>19.790137351695002</v>
      </c>
      <c r="L240" s="288" t="s">
        <v>28</v>
      </c>
      <c r="M240" s="288">
        <v>5000</v>
      </c>
      <c r="N240" s="288">
        <v>39</v>
      </c>
      <c r="O240" s="288" t="s">
        <v>59</v>
      </c>
      <c r="P240" s="288" t="s">
        <v>59</v>
      </c>
      <c r="Q240" s="288" t="s">
        <v>59</v>
      </c>
      <c r="R240" s="288" t="s">
        <v>29</v>
      </c>
      <c r="S240" s="288">
        <v>6</v>
      </c>
      <c r="T240" s="288" t="s">
        <v>66</v>
      </c>
      <c r="U240" s="291" t="s">
        <v>338</v>
      </c>
      <c r="V240" t="s">
        <v>25</v>
      </c>
      <c r="W240" t="s">
        <v>31</v>
      </c>
    </row>
    <row r="241" spans="1:23" x14ac:dyDescent="0.25">
      <c r="A241" t="s">
        <v>347</v>
      </c>
      <c r="B241" t="s">
        <v>337</v>
      </c>
      <c r="C241" s="285">
        <v>4</v>
      </c>
      <c r="D241">
        <v>5233685.5884892996</v>
      </c>
      <c r="E241">
        <v>80070333.090563506</v>
      </c>
      <c r="F241">
        <v>34752606.644629501</v>
      </c>
      <c r="G241">
        <v>39986292.233118802</v>
      </c>
      <c r="H241">
        <v>6.5363604552134705E-2</v>
      </c>
      <c r="I241">
        <v>6.5363604552134698</v>
      </c>
      <c r="J241">
        <v>0.13088699392224401</v>
      </c>
      <c r="K241" s="286">
        <v>13.088699392224401</v>
      </c>
      <c r="L241" s="288" t="s">
        <v>28</v>
      </c>
      <c r="M241" s="288">
        <v>5000</v>
      </c>
      <c r="N241" s="288">
        <v>29</v>
      </c>
      <c r="O241" s="288" t="s">
        <v>59</v>
      </c>
      <c r="P241" s="288" t="s">
        <v>59</v>
      </c>
      <c r="Q241" s="288" t="s">
        <v>59</v>
      </c>
      <c r="R241" s="288" t="s">
        <v>29</v>
      </c>
      <c r="S241" s="288">
        <v>6</v>
      </c>
      <c r="T241" s="288" t="s">
        <v>66</v>
      </c>
      <c r="U241" s="291" t="s">
        <v>338</v>
      </c>
      <c r="V241" t="s">
        <v>25</v>
      </c>
      <c r="W241" t="s">
        <v>31</v>
      </c>
    </row>
    <row r="242" spans="1:23" x14ac:dyDescent="0.25">
      <c r="A242" t="s">
        <v>348</v>
      </c>
      <c r="B242" t="s">
        <v>337</v>
      </c>
      <c r="C242" s="285">
        <v>2</v>
      </c>
      <c r="D242">
        <v>146194.30508911199</v>
      </c>
      <c r="E242">
        <v>46449879.465640903</v>
      </c>
      <c r="F242">
        <v>19777581.301716398</v>
      </c>
      <c r="G242">
        <v>19923775.6068055</v>
      </c>
      <c r="H242">
        <v>3.1473559624035901E-3</v>
      </c>
      <c r="I242">
        <v>0.31473559624035902</v>
      </c>
      <c r="J242">
        <v>7.3376807676540801E-3</v>
      </c>
      <c r="K242" s="286">
        <v>0.73376807676540801</v>
      </c>
      <c r="L242" s="288" t="s">
        <v>349</v>
      </c>
      <c r="M242" s="288">
        <v>5000</v>
      </c>
      <c r="N242" s="288">
        <v>15</v>
      </c>
      <c r="O242" s="288" t="s">
        <v>59</v>
      </c>
      <c r="P242" s="288" t="s">
        <v>59</v>
      </c>
      <c r="Q242" s="288" t="s">
        <v>59</v>
      </c>
      <c r="R242" s="288" t="s">
        <v>29</v>
      </c>
      <c r="S242" s="288">
        <v>2</v>
      </c>
      <c r="T242" s="288" t="s">
        <v>66</v>
      </c>
      <c r="U242" s="291" t="s">
        <v>338</v>
      </c>
      <c r="V242" t="s">
        <v>25</v>
      </c>
      <c r="W242" t="s">
        <v>31</v>
      </c>
    </row>
    <row r="243" spans="1:23" x14ac:dyDescent="0.25">
      <c r="A243" t="s">
        <v>350</v>
      </c>
      <c r="B243" t="s">
        <v>337</v>
      </c>
      <c r="C243" s="285">
        <v>3</v>
      </c>
      <c r="D243">
        <v>516982.84958726499</v>
      </c>
      <c r="E243">
        <v>41362726.7266858</v>
      </c>
      <c r="F243">
        <v>18618253.9668063</v>
      </c>
      <c r="G243">
        <v>19135236.816393599</v>
      </c>
      <c r="H243">
        <v>1.24987613365858E-2</v>
      </c>
      <c r="I243">
        <v>1.24987613365858</v>
      </c>
      <c r="J243">
        <v>2.7017321737264999E-2</v>
      </c>
      <c r="K243" s="286">
        <v>2.7017321737265001</v>
      </c>
      <c r="L243" s="288" t="s">
        <v>349</v>
      </c>
      <c r="M243" s="288">
        <v>5000</v>
      </c>
      <c r="N243" s="288">
        <v>0</v>
      </c>
      <c r="O243" s="288" t="s">
        <v>59</v>
      </c>
      <c r="P243" s="288" t="s">
        <v>59</v>
      </c>
      <c r="Q243" s="288" t="s">
        <v>59</v>
      </c>
      <c r="R243" s="288" t="s">
        <v>29</v>
      </c>
      <c r="S243" s="288">
        <v>2</v>
      </c>
      <c r="T243" s="288" t="s">
        <v>66</v>
      </c>
      <c r="U243" s="291" t="s">
        <v>338</v>
      </c>
      <c r="V243" t="s">
        <v>25</v>
      </c>
      <c r="W243" t="s">
        <v>31</v>
      </c>
    </row>
    <row r="244" spans="1:23" x14ac:dyDescent="0.25">
      <c r="A244" t="s">
        <v>351</v>
      </c>
      <c r="B244" t="s">
        <v>337</v>
      </c>
      <c r="C244" s="285">
        <v>2</v>
      </c>
      <c r="D244">
        <v>85935.000416007897</v>
      </c>
      <c r="E244">
        <v>57928110.305458397</v>
      </c>
      <c r="F244">
        <v>21949526.934822701</v>
      </c>
      <c r="G244">
        <v>22035461.9352387</v>
      </c>
      <c r="H244">
        <v>1.48347667415469E-3</v>
      </c>
      <c r="I244">
        <v>0.14834766741546901</v>
      </c>
      <c r="J244">
        <v>3.8998501900512502E-3</v>
      </c>
      <c r="K244" s="286">
        <v>0.389985019005125</v>
      </c>
      <c r="L244" s="288" t="s">
        <v>349</v>
      </c>
      <c r="M244" s="288">
        <v>5000</v>
      </c>
      <c r="N244" s="288">
        <v>10</v>
      </c>
      <c r="O244" s="288" t="s">
        <v>59</v>
      </c>
      <c r="P244" s="288" t="s">
        <v>59</v>
      </c>
      <c r="Q244" s="288" t="s">
        <v>59</v>
      </c>
      <c r="R244" s="288" t="s">
        <v>29</v>
      </c>
      <c r="S244" s="288">
        <v>2</v>
      </c>
      <c r="T244" s="288" t="s">
        <v>66</v>
      </c>
      <c r="U244" s="291" t="s">
        <v>338</v>
      </c>
      <c r="V244" t="s">
        <v>25</v>
      </c>
      <c r="W244" t="s">
        <v>31</v>
      </c>
    </row>
    <row r="245" spans="1:23" x14ac:dyDescent="0.25">
      <c r="A245" t="s">
        <v>352</v>
      </c>
      <c r="B245" t="s">
        <v>337</v>
      </c>
      <c r="C245" s="285">
        <v>1</v>
      </c>
      <c r="D245">
        <v>3022.83308743521</v>
      </c>
      <c r="E245">
        <v>84300197.655197605</v>
      </c>
      <c r="F245">
        <v>25170366.950591002</v>
      </c>
      <c r="G245">
        <v>25173389.783678401</v>
      </c>
      <c r="H245" s="1">
        <v>3.5857959666940802E-5</v>
      </c>
      <c r="I245">
        <v>3.5857959666940799E-3</v>
      </c>
      <c r="J245">
        <v>1.2008049426045499E-4</v>
      </c>
      <c r="K245" s="286">
        <v>1.2008049426045501E-2</v>
      </c>
      <c r="L245" s="288" t="s">
        <v>349</v>
      </c>
      <c r="M245" s="288">
        <v>5000</v>
      </c>
      <c r="N245" s="288">
        <v>2</v>
      </c>
      <c r="O245" s="288" t="s">
        <v>59</v>
      </c>
      <c r="P245" s="288" t="s">
        <v>59</v>
      </c>
      <c r="Q245" s="288" t="s">
        <v>59</v>
      </c>
      <c r="R245" s="288" t="s">
        <v>29</v>
      </c>
      <c r="S245" s="288">
        <v>2</v>
      </c>
      <c r="T245" s="288" t="s">
        <v>66</v>
      </c>
      <c r="U245" s="291" t="s">
        <v>338</v>
      </c>
      <c r="V245" t="s">
        <v>25</v>
      </c>
      <c r="W245" t="s">
        <v>31</v>
      </c>
    </row>
    <row r="246" spans="1:23" x14ac:dyDescent="0.25">
      <c r="A246" t="s">
        <v>353</v>
      </c>
      <c r="B246" t="s">
        <v>337</v>
      </c>
      <c r="C246" s="285">
        <v>2</v>
      </c>
      <c r="D246">
        <v>195663.28795442599</v>
      </c>
      <c r="E246">
        <v>55135512.649727203</v>
      </c>
      <c r="F246">
        <v>19633781.624240302</v>
      </c>
      <c r="G246">
        <v>19829444.912194699</v>
      </c>
      <c r="H246">
        <v>3.5487706298745099E-3</v>
      </c>
      <c r="I246">
        <v>0.35487706298745098</v>
      </c>
      <c r="J246">
        <v>9.8673103972818504E-3</v>
      </c>
      <c r="K246" s="286">
        <v>0.98673103972818499</v>
      </c>
      <c r="L246" s="288" t="s">
        <v>349</v>
      </c>
      <c r="M246" s="288">
        <v>5000</v>
      </c>
      <c r="N246" s="288">
        <v>16</v>
      </c>
      <c r="O246" s="288" t="s">
        <v>59</v>
      </c>
      <c r="P246" s="288" t="s">
        <v>59</v>
      </c>
      <c r="Q246" s="288" t="s">
        <v>59</v>
      </c>
      <c r="R246" s="288" t="s">
        <v>29</v>
      </c>
      <c r="S246" s="288">
        <v>6</v>
      </c>
      <c r="T246" s="288" t="s">
        <v>66</v>
      </c>
      <c r="U246" s="291" t="s">
        <v>338</v>
      </c>
      <c r="V246" t="s">
        <v>25</v>
      </c>
      <c r="W246" t="s">
        <v>31</v>
      </c>
    </row>
    <row r="247" spans="1:23" x14ac:dyDescent="0.25">
      <c r="A247" t="s">
        <v>354</v>
      </c>
      <c r="B247" t="s">
        <v>337</v>
      </c>
      <c r="C247" s="285">
        <v>3</v>
      </c>
      <c r="D247">
        <v>1973734.9688569701</v>
      </c>
      <c r="E247">
        <v>66906948.997967802</v>
      </c>
      <c r="F247">
        <v>28695874.221109301</v>
      </c>
      <c r="G247">
        <v>30669609.189966299</v>
      </c>
      <c r="H247">
        <v>2.9499700680073099E-2</v>
      </c>
      <c r="I247">
        <v>2.94997006800731</v>
      </c>
      <c r="J247">
        <v>6.4354747940599394E-2</v>
      </c>
      <c r="K247" s="286">
        <v>6.4354747940599397</v>
      </c>
      <c r="L247" s="288" t="s">
        <v>349</v>
      </c>
      <c r="M247" s="288">
        <v>5000</v>
      </c>
      <c r="N247" s="288">
        <v>28</v>
      </c>
      <c r="O247" s="288" t="s">
        <v>59</v>
      </c>
      <c r="P247" s="288" t="s">
        <v>59</v>
      </c>
      <c r="Q247" s="288" t="s">
        <v>59</v>
      </c>
      <c r="R247" s="288" t="s">
        <v>29</v>
      </c>
      <c r="S247" s="288">
        <v>6</v>
      </c>
      <c r="T247" s="288" t="s">
        <v>66</v>
      </c>
      <c r="U247" s="291" t="s">
        <v>338</v>
      </c>
      <c r="V247" t="s">
        <v>25</v>
      </c>
      <c r="W247" t="s">
        <v>31</v>
      </c>
    </row>
    <row r="248" spans="1:23" x14ac:dyDescent="0.25">
      <c r="A248" t="s">
        <v>355</v>
      </c>
      <c r="B248" t="s">
        <v>337</v>
      </c>
      <c r="C248" s="285">
        <v>3</v>
      </c>
      <c r="D248">
        <v>1450147.4428962001</v>
      </c>
      <c r="E248">
        <v>70677069.879703403</v>
      </c>
      <c r="F248">
        <v>33774499.129290901</v>
      </c>
      <c r="G248">
        <v>35224646.572187103</v>
      </c>
      <c r="H248">
        <v>2.05179338272574E-2</v>
      </c>
      <c r="I248">
        <v>2.05179338272574</v>
      </c>
      <c r="J248">
        <v>4.1168544868842402E-2</v>
      </c>
      <c r="K248" s="286">
        <v>4.1168544868842396</v>
      </c>
      <c r="L248" s="288" t="s">
        <v>349</v>
      </c>
      <c r="M248" s="288">
        <v>5000</v>
      </c>
      <c r="N248" s="288">
        <v>22</v>
      </c>
      <c r="O248" s="288" t="s">
        <v>59</v>
      </c>
      <c r="P248" s="288" t="s">
        <v>59</v>
      </c>
      <c r="Q248" s="288" t="s">
        <v>59</v>
      </c>
      <c r="R248" s="288" t="s">
        <v>29</v>
      </c>
      <c r="S248" s="288">
        <v>6</v>
      </c>
      <c r="T248" s="288" t="s">
        <v>66</v>
      </c>
      <c r="U248" s="291" t="s">
        <v>338</v>
      </c>
      <c r="V248" t="s">
        <v>25</v>
      </c>
      <c r="W248" t="s">
        <v>31</v>
      </c>
    </row>
    <row r="249" spans="1:23" x14ac:dyDescent="0.25">
      <c r="A249" t="s">
        <v>356</v>
      </c>
      <c r="B249" t="s">
        <v>337</v>
      </c>
      <c r="C249" s="285">
        <v>3</v>
      </c>
      <c r="D249">
        <v>1481823.4247349601</v>
      </c>
      <c r="E249">
        <v>80488482.226915702</v>
      </c>
      <c r="F249">
        <v>28852642.582180101</v>
      </c>
      <c r="G249">
        <v>30334466.006914999</v>
      </c>
      <c r="H249">
        <v>1.84103785254312E-2</v>
      </c>
      <c r="I249">
        <v>1.8410378525431199</v>
      </c>
      <c r="J249">
        <v>4.8849497610973701E-2</v>
      </c>
      <c r="K249" s="286">
        <v>4.8849497610973698</v>
      </c>
      <c r="L249" s="288" t="s">
        <v>349</v>
      </c>
      <c r="M249" s="288">
        <v>5000</v>
      </c>
      <c r="N249" s="288">
        <v>21</v>
      </c>
      <c r="O249" s="288" t="s">
        <v>59</v>
      </c>
      <c r="P249" s="288" t="s">
        <v>59</v>
      </c>
      <c r="Q249" s="288" t="s">
        <v>59</v>
      </c>
      <c r="R249" s="288" t="s">
        <v>29</v>
      </c>
      <c r="S249" s="288">
        <v>6</v>
      </c>
      <c r="T249" s="288" t="s">
        <v>66</v>
      </c>
      <c r="U249" s="291" t="s">
        <v>338</v>
      </c>
      <c r="V249" t="s">
        <v>25</v>
      </c>
      <c r="W249" t="s">
        <v>31</v>
      </c>
    </row>
  </sheetData>
  <autoFilter ref="A1:AA249" xr:uid="{FCD254CE-78CF-43A3-800A-36636E7DA7F7}"/>
  <phoneticPr fontId="27" type="noConversion"/>
  <pageMargins left="0.7" right="0.7" top="0.78740157499999996" bottom="0.78740157499999996" header="0.3" footer="0.3"/>
  <pageSetup paperSize="9" scale="49" fitToHeight="0" orientation="landscape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E25A-DE30-411F-8E4F-A1D55CA9CF94}">
  <dimension ref="A1:AD23"/>
  <sheetViews>
    <sheetView topLeftCell="A2" workbookViewId="0">
      <selection activeCell="E23" sqref="E23"/>
    </sheetView>
  </sheetViews>
  <sheetFormatPr defaultColWidth="10.7109375" defaultRowHeight="15" x14ac:dyDescent="0.25"/>
  <cols>
    <col min="1" max="1" width="20" customWidth="1"/>
    <col min="12" max="12" width="23.140625" customWidth="1"/>
  </cols>
  <sheetData>
    <row r="1" spans="1:30" x14ac:dyDescent="0.25">
      <c r="B1" s="4" t="s">
        <v>388</v>
      </c>
      <c r="C1" s="4"/>
      <c r="D1" s="4"/>
      <c r="E1" s="4"/>
      <c r="F1" s="4"/>
      <c r="G1" s="4"/>
      <c r="H1" s="4"/>
      <c r="I1" s="4"/>
      <c r="J1" s="4"/>
      <c r="K1" s="3" t="s">
        <v>389</v>
      </c>
      <c r="L1" s="3"/>
      <c r="M1" s="3"/>
      <c r="N1" s="3"/>
      <c r="O1" s="3"/>
      <c r="P1" s="3"/>
      <c r="Q1" s="3"/>
      <c r="R1" s="3"/>
      <c r="S1" s="3"/>
      <c r="T1" s="3"/>
      <c r="U1" s="5" t="s">
        <v>390</v>
      </c>
      <c r="W1" s="5"/>
      <c r="X1" s="5"/>
      <c r="Y1" s="5"/>
      <c r="Z1" s="5"/>
      <c r="AA1" s="5"/>
      <c r="AB1" s="5"/>
      <c r="AC1" s="5"/>
      <c r="AD1" s="5"/>
    </row>
    <row r="2" spans="1:30" ht="75" x14ac:dyDescent="0.25">
      <c r="A2" s="2" t="s">
        <v>0</v>
      </c>
      <c r="B2" s="280" t="s">
        <v>391</v>
      </c>
      <c r="C2" s="6" t="s">
        <v>392</v>
      </c>
      <c r="D2" s="6" t="s">
        <v>4</v>
      </c>
      <c r="E2" s="6" t="s">
        <v>5</v>
      </c>
      <c r="F2" s="6" t="s">
        <v>393</v>
      </c>
      <c r="G2" s="6" t="s">
        <v>7</v>
      </c>
      <c r="H2" s="6" t="s">
        <v>8</v>
      </c>
      <c r="I2" s="6" t="s">
        <v>9</v>
      </c>
      <c r="J2" s="280" t="s">
        <v>10</v>
      </c>
      <c r="K2" s="278" t="s">
        <v>0</v>
      </c>
      <c r="L2" s="280" t="s">
        <v>391</v>
      </c>
      <c r="M2" s="6" t="s">
        <v>392</v>
      </c>
      <c r="N2" s="6" t="s">
        <v>4</v>
      </c>
      <c r="O2" s="6" t="s">
        <v>5</v>
      </c>
      <c r="P2" s="6" t="s">
        <v>393</v>
      </c>
      <c r="Q2" s="6" t="s">
        <v>7</v>
      </c>
      <c r="R2" s="6" t="s">
        <v>8</v>
      </c>
      <c r="S2" s="6" t="s">
        <v>9</v>
      </c>
      <c r="T2" s="280" t="s">
        <v>10</v>
      </c>
      <c r="U2" s="278" t="s">
        <v>0</v>
      </c>
      <c r="V2" s="280" t="s">
        <v>394</v>
      </c>
      <c r="W2" s="6" t="s">
        <v>392</v>
      </c>
      <c r="X2" s="6" t="s">
        <v>4</v>
      </c>
      <c r="Y2" s="6" t="s">
        <v>5</v>
      </c>
      <c r="Z2" s="6" t="s">
        <v>393</v>
      </c>
      <c r="AA2" s="6" t="s">
        <v>7</v>
      </c>
      <c r="AB2" s="6" t="s">
        <v>8</v>
      </c>
      <c r="AC2" s="6" t="s">
        <v>9</v>
      </c>
      <c r="AD2" s="280" t="s">
        <v>10</v>
      </c>
    </row>
    <row r="3" spans="1:30" x14ac:dyDescent="0.25">
      <c r="A3" t="s">
        <v>48</v>
      </c>
      <c r="B3">
        <v>1</v>
      </c>
      <c r="C3">
        <v>950.29306397555297</v>
      </c>
      <c r="D3">
        <v>22712490.902583499</v>
      </c>
      <c r="E3">
        <v>12823598.935824299</v>
      </c>
      <c r="F3">
        <v>12824549.228888201</v>
      </c>
      <c r="G3" s="1">
        <v>4.18401076329086E-5</v>
      </c>
      <c r="H3">
        <v>4.1840107632908604E-3</v>
      </c>
      <c r="I3" s="1">
        <v>7.4099529505095095E-5</v>
      </c>
      <c r="J3">
        <v>7.4099529505095097E-3</v>
      </c>
      <c r="K3" t="s">
        <v>48</v>
      </c>
      <c r="L3">
        <v>2</v>
      </c>
      <c r="M3">
        <v>127006.361317727</v>
      </c>
      <c r="N3">
        <v>25525164.844652299</v>
      </c>
      <c r="O3">
        <v>12757712.0910588</v>
      </c>
      <c r="P3">
        <v>12884718.4523765</v>
      </c>
      <c r="Q3">
        <v>4.9757312867789796E-3</v>
      </c>
      <c r="R3">
        <v>0.49757312867789799</v>
      </c>
      <c r="S3">
        <v>9.8571312820810199E-3</v>
      </c>
      <c r="T3">
        <v>0.98571312820810197</v>
      </c>
    </row>
    <row r="4" spans="1:30" x14ac:dyDescent="0.25">
      <c r="A4" t="s">
        <v>50</v>
      </c>
      <c r="B4">
        <v>1</v>
      </c>
      <c r="C4">
        <v>641.28390153062401</v>
      </c>
      <c r="D4">
        <v>25907007.737965599</v>
      </c>
      <c r="E4">
        <v>13699342.109834399</v>
      </c>
      <c r="F4">
        <v>13699983.393735901</v>
      </c>
      <c r="G4" s="1">
        <v>2.4753298721984399E-5</v>
      </c>
      <c r="H4">
        <v>2.4753298721984398E-3</v>
      </c>
      <c r="I4" s="1">
        <v>4.6809100646343797E-5</v>
      </c>
      <c r="J4">
        <v>4.6809100646343802E-3</v>
      </c>
      <c r="K4" t="s">
        <v>50</v>
      </c>
      <c r="L4">
        <v>1</v>
      </c>
      <c r="M4">
        <v>3474.1851472764001</v>
      </c>
      <c r="N4">
        <v>16401176.728099899</v>
      </c>
      <c r="O4">
        <v>6792960.8939594999</v>
      </c>
      <c r="P4">
        <v>6796435.0791067705</v>
      </c>
      <c r="Q4">
        <v>2.1182535892830801E-4</v>
      </c>
      <c r="R4">
        <v>2.1182535892830801E-2</v>
      </c>
      <c r="S4">
        <v>5.1117756689187603E-4</v>
      </c>
      <c r="T4">
        <v>5.1117756689187603E-2</v>
      </c>
      <c r="U4" t="s">
        <v>50</v>
      </c>
      <c r="V4">
        <v>1</v>
      </c>
      <c r="W4">
        <v>1292.08553906681</v>
      </c>
      <c r="X4">
        <v>11321741.858913099</v>
      </c>
      <c r="Y4">
        <v>5324077.69794768</v>
      </c>
      <c r="Z4">
        <v>5325369.7834867397</v>
      </c>
      <c r="AA4">
        <v>1.14124271262165E-4</v>
      </c>
      <c r="AB4">
        <v>1.14124271262165E-2</v>
      </c>
      <c r="AC4">
        <v>2.4262832283936399E-4</v>
      </c>
      <c r="AD4">
        <v>2.42628322839364E-2</v>
      </c>
    </row>
    <row r="5" spans="1:30" x14ac:dyDescent="0.25">
      <c r="A5" t="s">
        <v>395</v>
      </c>
      <c r="B5">
        <v>0</v>
      </c>
      <c r="C5">
        <v>0</v>
      </c>
      <c r="D5">
        <v>29491854.4568244</v>
      </c>
      <c r="E5">
        <v>16850192.7646784</v>
      </c>
      <c r="F5">
        <v>16901432.653711699</v>
      </c>
      <c r="G5">
        <v>0</v>
      </c>
      <c r="H5">
        <v>0</v>
      </c>
      <c r="I5">
        <v>0</v>
      </c>
      <c r="J5">
        <v>0</v>
      </c>
      <c r="K5" t="s">
        <v>395</v>
      </c>
      <c r="L5">
        <v>2</v>
      </c>
      <c r="M5">
        <v>16825.663235321699</v>
      </c>
      <c r="N5">
        <v>30167523.1094415</v>
      </c>
      <c r="O5">
        <v>16260227.719114101</v>
      </c>
      <c r="P5">
        <v>16277053.3823494</v>
      </c>
      <c r="Q5">
        <v>5.57740957859938E-4</v>
      </c>
      <c r="R5">
        <v>5.5774095785993801E-2</v>
      </c>
      <c r="S5">
        <v>1.0337044943016E-3</v>
      </c>
      <c r="T5">
        <v>0.10337044943015999</v>
      </c>
    </row>
    <row r="6" spans="1:30" x14ac:dyDescent="0.25">
      <c r="A6" t="s">
        <v>47</v>
      </c>
      <c r="B6">
        <v>3</v>
      </c>
      <c r="C6">
        <v>577617.81035256898</v>
      </c>
      <c r="D6">
        <v>23364977.420037501</v>
      </c>
      <c r="E6">
        <v>12309775.2442993</v>
      </c>
      <c r="F6">
        <v>12887393.054651899</v>
      </c>
      <c r="G6">
        <v>2.4721522301032001E-2</v>
      </c>
      <c r="H6">
        <v>2.4721522301032</v>
      </c>
      <c r="I6">
        <v>4.4820376619464398E-2</v>
      </c>
      <c r="J6">
        <v>4.4820376619464399</v>
      </c>
      <c r="K6" t="s">
        <v>47</v>
      </c>
      <c r="L6">
        <v>1</v>
      </c>
      <c r="M6">
        <v>1191.1974312228799</v>
      </c>
      <c r="N6">
        <v>37786138.901402399</v>
      </c>
      <c r="O6">
        <v>22727272.455596101</v>
      </c>
      <c r="P6">
        <v>22728463.6530273</v>
      </c>
      <c r="Q6" s="1">
        <v>3.1524719536207301E-5</v>
      </c>
      <c r="R6">
        <v>3.1524719536207301E-3</v>
      </c>
      <c r="S6" s="1">
        <v>5.2409940654489501E-5</v>
      </c>
      <c r="T6">
        <v>5.2409940654489498E-3</v>
      </c>
    </row>
    <row r="7" spans="1:30" x14ac:dyDescent="0.25">
      <c r="A7" t="s">
        <v>396</v>
      </c>
      <c r="B7">
        <v>2</v>
      </c>
      <c r="C7">
        <v>136592.20039568501</v>
      </c>
      <c r="D7">
        <v>29137241.337567098</v>
      </c>
      <c r="E7">
        <v>10960763.826161001</v>
      </c>
      <c r="F7">
        <v>11097356.0265567</v>
      </c>
      <c r="G7">
        <v>4.6878906212570997E-3</v>
      </c>
      <c r="H7">
        <v>0.46878906212570998</v>
      </c>
      <c r="I7">
        <v>1.23085354807767E-2</v>
      </c>
      <c r="J7">
        <v>1.2308535480776699</v>
      </c>
      <c r="K7" t="s">
        <v>396</v>
      </c>
      <c r="L7">
        <v>2</v>
      </c>
      <c r="M7">
        <v>75119.259307743298</v>
      </c>
      <c r="N7">
        <v>28245308.2917808</v>
      </c>
      <c r="O7">
        <v>10849479.0740027</v>
      </c>
      <c r="P7">
        <v>10924598.333310399</v>
      </c>
      <c r="Q7">
        <v>2.6595305150060099E-3</v>
      </c>
      <c r="R7">
        <v>0.265953051500601</v>
      </c>
      <c r="S7">
        <v>6.8761575497650503E-3</v>
      </c>
      <c r="T7">
        <v>0.68761575497650496</v>
      </c>
    </row>
    <row r="8" spans="1:30" x14ac:dyDescent="0.25">
      <c r="A8" t="s">
        <v>397</v>
      </c>
      <c r="B8">
        <v>0</v>
      </c>
      <c r="C8">
        <v>0</v>
      </c>
      <c r="D8">
        <v>22906895.419977501</v>
      </c>
      <c r="E8">
        <v>11893470.263626</v>
      </c>
      <c r="F8">
        <v>11896072.835408499</v>
      </c>
      <c r="G8">
        <v>0</v>
      </c>
      <c r="H8">
        <v>0</v>
      </c>
      <c r="I8">
        <v>0</v>
      </c>
      <c r="J8">
        <v>0</v>
      </c>
      <c r="K8" t="s">
        <v>397</v>
      </c>
      <c r="L8">
        <v>0</v>
      </c>
      <c r="M8">
        <v>71.277260520830396</v>
      </c>
      <c r="N8">
        <v>32887558.968015801</v>
      </c>
      <c r="O8">
        <v>13603517.4961328</v>
      </c>
      <c r="P8">
        <v>13603588.773393299</v>
      </c>
      <c r="Q8" s="1">
        <v>2.16730164102935E-6</v>
      </c>
      <c r="R8">
        <v>0</v>
      </c>
      <c r="S8" s="1">
        <v>5.2395924125726601E-6</v>
      </c>
      <c r="T8">
        <v>0</v>
      </c>
    </row>
    <row r="9" spans="1:30" x14ac:dyDescent="0.25">
      <c r="A9" t="s">
        <v>23</v>
      </c>
      <c r="B9">
        <v>0</v>
      </c>
      <c r="C9">
        <v>0</v>
      </c>
      <c r="D9">
        <v>33401209.2002737</v>
      </c>
      <c r="E9">
        <v>17879369.345649902</v>
      </c>
      <c r="F9">
        <v>17879824.081931598</v>
      </c>
      <c r="G9" s="1">
        <v>0</v>
      </c>
      <c r="H9">
        <v>0</v>
      </c>
      <c r="I9" s="1">
        <v>0</v>
      </c>
      <c r="J9">
        <v>0</v>
      </c>
      <c r="K9" t="s">
        <v>23</v>
      </c>
      <c r="L9">
        <v>0</v>
      </c>
      <c r="M9">
        <v>706.216020686099</v>
      </c>
      <c r="N9">
        <v>32218141.063246801</v>
      </c>
      <c r="O9">
        <v>15689896.4249803</v>
      </c>
      <c r="P9">
        <v>15690602.641000999</v>
      </c>
      <c r="Q9" s="1">
        <v>2.1919825209646301E-5</v>
      </c>
      <c r="R9">
        <v>0</v>
      </c>
      <c r="S9" s="1">
        <v>4.5008852549785902E-5</v>
      </c>
      <c r="T9">
        <v>0</v>
      </c>
    </row>
    <row r="10" spans="1:30" x14ac:dyDescent="0.25">
      <c r="A10" t="s">
        <v>33</v>
      </c>
      <c r="B10">
        <v>2</v>
      </c>
      <c r="C10">
        <v>295527.574681047</v>
      </c>
      <c r="D10">
        <v>34010118.553895697</v>
      </c>
      <c r="E10">
        <v>17091022.507515099</v>
      </c>
      <c r="F10">
        <v>17386550.082196198</v>
      </c>
      <c r="G10">
        <v>8.6894014854057497E-3</v>
      </c>
      <c r="H10">
        <v>0.868940148540575</v>
      </c>
      <c r="I10">
        <v>1.69974821505081E-2</v>
      </c>
      <c r="J10">
        <v>1.6997482150508101</v>
      </c>
      <c r="K10" t="s">
        <v>27</v>
      </c>
      <c r="L10">
        <v>1</v>
      </c>
      <c r="M10">
        <v>3317.24815332041</v>
      </c>
      <c r="N10">
        <v>37051897.707398601</v>
      </c>
      <c r="O10">
        <v>18390174.0179171</v>
      </c>
      <c r="P10">
        <v>18393491.266070399</v>
      </c>
      <c r="Q10" s="1">
        <v>8.9529777381902302E-5</v>
      </c>
      <c r="R10">
        <v>8.9529777381902303E-3</v>
      </c>
      <c r="S10">
        <v>1.8034902158240999E-4</v>
      </c>
      <c r="T10">
        <v>1.8034902158240999E-2</v>
      </c>
    </row>
    <row r="11" spans="1:30" x14ac:dyDescent="0.25">
      <c r="A11" t="s">
        <v>27</v>
      </c>
      <c r="B11">
        <v>2</v>
      </c>
      <c r="C11">
        <v>492505.38664382702</v>
      </c>
      <c r="D11">
        <v>47294373.0374562</v>
      </c>
      <c r="E11">
        <v>25091599.676596999</v>
      </c>
      <c r="F11">
        <v>25584105.0632408</v>
      </c>
      <c r="G11">
        <v>1.0413614876631699E-2</v>
      </c>
      <c r="H11">
        <v>1.04136148766317</v>
      </c>
      <c r="I11">
        <v>1.9250444188937298E-2</v>
      </c>
      <c r="J11">
        <v>1.9250444188937299</v>
      </c>
      <c r="K11" t="s">
        <v>32</v>
      </c>
      <c r="L11">
        <v>1</v>
      </c>
      <c r="M11">
        <v>37235.500547774602</v>
      </c>
      <c r="N11">
        <v>39729402.6066892</v>
      </c>
      <c r="O11">
        <v>20346490.186476</v>
      </c>
      <c r="P11">
        <v>20383725.687023699</v>
      </c>
      <c r="Q11">
        <v>9.3722779867586601E-4</v>
      </c>
      <c r="R11">
        <v>9.3722779867586606E-2</v>
      </c>
      <c r="S11">
        <v>1.8267269251704299E-3</v>
      </c>
      <c r="T11">
        <v>0.18267269251704299</v>
      </c>
    </row>
    <row r="12" spans="1:30" x14ac:dyDescent="0.25">
      <c r="A12" t="s">
        <v>32</v>
      </c>
      <c r="B12">
        <v>1</v>
      </c>
      <c r="C12">
        <v>3670.4622351950002</v>
      </c>
      <c r="D12">
        <v>34416953.570292503</v>
      </c>
      <c r="E12">
        <v>18243273.236163002</v>
      </c>
      <c r="F12">
        <v>18246943.698398199</v>
      </c>
      <c r="G12">
        <v>1.06646924100894E-4</v>
      </c>
      <c r="H12">
        <v>1.06646924100894E-2</v>
      </c>
      <c r="I12">
        <v>2.01154905493417E-4</v>
      </c>
      <c r="J12">
        <v>2.01154905493417E-2</v>
      </c>
      <c r="K12" t="s">
        <v>33</v>
      </c>
      <c r="L12">
        <v>1</v>
      </c>
      <c r="M12">
        <v>144.881076920254</v>
      </c>
      <c r="N12">
        <v>40190613.527560502</v>
      </c>
      <c r="O12">
        <v>19636104.392687101</v>
      </c>
      <c r="P12">
        <v>19636249.273763999</v>
      </c>
      <c r="Q12" s="1">
        <v>3.6048486003057E-6</v>
      </c>
      <c r="R12">
        <v>3.6048486003056998E-4</v>
      </c>
      <c r="S12" s="1">
        <v>7.3782459623707002E-6</v>
      </c>
      <c r="T12">
        <v>7.3782459623707001E-4</v>
      </c>
    </row>
    <row r="13" spans="1:30" x14ac:dyDescent="0.25">
      <c r="A13" t="s">
        <v>36</v>
      </c>
      <c r="B13">
        <v>3</v>
      </c>
      <c r="C13">
        <v>5297198.5395474602</v>
      </c>
      <c r="D13">
        <v>36537193.760503903</v>
      </c>
      <c r="E13">
        <v>18038854.3850899</v>
      </c>
      <c r="F13">
        <v>23336052.9246374</v>
      </c>
      <c r="G13">
        <v>0.14498099044688101</v>
      </c>
      <c r="H13">
        <v>14.4980990446881</v>
      </c>
      <c r="I13">
        <v>0.22699633724068399</v>
      </c>
      <c r="J13">
        <v>22.699633724068399</v>
      </c>
      <c r="K13" t="s">
        <v>36</v>
      </c>
      <c r="L13">
        <v>4</v>
      </c>
      <c r="M13">
        <v>10401593.3402806</v>
      </c>
      <c r="N13">
        <v>38753209.286184497</v>
      </c>
      <c r="O13">
        <v>16716873.429316601</v>
      </c>
      <c r="P13">
        <v>27118466.769597299</v>
      </c>
      <c r="Q13">
        <v>0.268405985771837</v>
      </c>
      <c r="R13">
        <v>26.840598577183599</v>
      </c>
      <c r="S13">
        <v>0.38356126209693903</v>
      </c>
      <c r="T13">
        <v>38.356126209693898</v>
      </c>
    </row>
    <row r="14" spans="1:30" x14ac:dyDescent="0.25">
      <c r="A14" t="s">
        <v>34</v>
      </c>
      <c r="B14">
        <v>0</v>
      </c>
      <c r="C14">
        <v>0</v>
      </c>
      <c r="D14">
        <v>35780747.6229662</v>
      </c>
      <c r="E14">
        <v>18567123.7511236</v>
      </c>
      <c r="F14">
        <v>18567623.7494382</v>
      </c>
      <c r="G14" s="1">
        <v>0</v>
      </c>
      <c r="H14">
        <v>0</v>
      </c>
      <c r="I14" s="1">
        <v>0</v>
      </c>
      <c r="J14">
        <v>0</v>
      </c>
      <c r="K14" t="s">
        <v>34</v>
      </c>
      <c r="L14">
        <v>0</v>
      </c>
      <c r="M14">
        <v>656.08915902953902</v>
      </c>
      <c r="N14">
        <v>32691689.9305773</v>
      </c>
      <c r="O14">
        <v>15855153.620144701</v>
      </c>
      <c r="P14">
        <v>15855809.709303699</v>
      </c>
      <c r="Q14" s="1">
        <v>2.00689887987675E-5</v>
      </c>
      <c r="R14">
        <v>0</v>
      </c>
      <c r="S14" s="1">
        <v>4.1378470797651097E-5</v>
      </c>
      <c r="T14">
        <v>0</v>
      </c>
    </row>
    <row r="23" spans="26:26" x14ac:dyDescent="0.25">
      <c r="Z23" s="279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A51-F1D2-4953-AEA3-99CD75339BE8}">
  <sheetPr filterMode="1"/>
  <dimension ref="A1:AG136"/>
  <sheetViews>
    <sheetView zoomScale="70" zoomScaleNormal="70" workbookViewId="0">
      <selection activeCell="Q4" sqref="Q4"/>
    </sheetView>
  </sheetViews>
  <sheetFormatPr defaultColWidth="10.85546875" defaultRowHeight="15" x14ac:dyDescent="0.25"/>
  <cols>
    <col min="2" max="2" width="19.7109375" customWidth="1"/>
    <col min="3" max="3" width="17.42578125" customWidth="1"/>
    <col min="7" max="7" width="16.140625" customWidth="1"/>
    <col min="9" max="9" width="10.42578125" bestFit="1" customWidth="1"/>
    <col min="10" max="10" width="11.5703125" bestFit="1" customWidth="1"/>
    <col min="11" max="11" width="15.140625" customWidth="1"/>
    <col min="12" max="12" width="19.140625" customWidth="1"/>
    <col min="13" max="13" width="16.85546875" customWidth="1"/>
    <col min="14" max="14" width="12.140625" customWidth="1"/>
    <col min="15" max="15" width="17.42578125" customWidth="1"/>
    <col min="20" max="20" width="10.42578125" bestFit="1" customWidth="1"/>
    <col min="21" max="21" width="10.42578125" customWidth="1"/>
    <col min="24" max="24" width="10.42578125" bestFit="1" customWidth="1"/>
    <col min="27" max="27" width="11.5703125" bestFit="1" customWidth="1"/>
    <col min="32" max="32" width="11.42578125" customWidth="1"/>
    <col min="33" max="33" width="8.85546875" customWidth="1"/>
  </cols>
  <sheetData>
    <row r="1" spans="1:33" ht="81" x14ac:dyDescent="0.25">
      <c r="A1" s="271" t="s">
        <v>1</v>
      </c>
      <c r="B1" s="274" t="s">
        <v>398</v>
      </c>
      <c r="C1" s="282" t="s">
        <v>399</v>
      </c>
      <c r="D1" s="275" t="s">
        <v>400</v>
      </c>
      <c r="E1" s="275" t="s">
        <v>401</v>
      </c>
      <c r="F1" s="275" t="s">
        <v>402</v>
      </c>
      <c r="G1" s="275" t="s">
        <v>403</v>
      </c>
      <c r="H1" s="275" t="s">
        <v>404</v>
      </c>
      <c r="I1" s="275" t="s">
        <v>405</v>
      </c>
      <c r="J1" s="275" t="s">
        <v>406</v>
      </c>
      <c r="K1" s="275" t="s">
        <v>407</v>
      </c>
      <c r="L1" s="275" t="s">
        <v>408</v>
      </c>
      <c r="M1" s="275" t="s">
        <v>409</v>
      </c>
      <c r="N1" s="275" t="s">
        <v>410</v>
      </c>
      <c r="O1" s="275" t="s">
        <v>411</v>
      </c>
      <c r="P1" s="275" t="s">
        <v>412</v>
      </c>
      <c r="Q1" s="282" t="s">
        <v>413</v>
      </c>
      <c r="R1" s="275" t="s">
        <v>414</v>
      </c>
      <c r="S1" s="275" t="s">
        <v>415</v>
      </c>
      <c r="T1" s="275" t="s">
        <v>416</v>
      </c>
      <c r="U1" s="275" t="s">
        <v>417</v>
      </c>
      <c r="V1" s="275" t="s">
        <v>418</v>
      </c>
      <c r="W1" s="275" t="s">
        <v>419</v>
      </c>
      <c r="X1" s="275" t="s">
        <v>420</v>
      </c>
      <c r="Y1" s="275" t="s">
        <v>421</v>
      </c>
      <c r="Z1" s="275" t="s">
        <v>422</v>
      </c>
      <c r="AA1" s="275" t="s">
        <v>423</v>
      </c>
      <c r="AB1" s="275" t="s">
        <v>424</v>
      </c>
      <c r="AC1" s="275" t="s">
        <v>425</v>
      </c>
      <c r="AD1" s="275" t="s">
        <v>426</v>
      </c>
      <c r="AE1" s="275" t="s">
        <v>427</v>
      </c>
      <c r="AF1" s="276" t="s">
        <v>428</v>
      </c>
      <c r="AG1" s="276" t="s">
        <v>429</v>
      </c>
    </row>
    <row r="2" spans="1:33" ht="15.75" hidden="1" thickTop="1" x14ac:dyDescent="0.25">
      <c r="A2" s="281" t="s">
        <v>133</v>
      </c>
      <c r="B2" s="24" t="s">
        <v>132</v>
      </c>
      <c r="C2" s="24">
        <v>0</v>
      </c>
      <c r="D2" s="24">
        <v>0</v>
      </c>
      <c r="E2" s="24">
        <v>0</v>
      </c>
      <c r="F2" s="24">
        <v>34.4817044161884</v>
      </c>
      <c r="G2" s="24">
        <v>34481704.416188397</v>
      </c>
      <c r="H2" s="24">
        <v>0</v>
      </c>
      <c r="I2" s="24">
        <v>0</v>
      </c>
      <c r="J2" s="24">
        <f>SUM(H2,D2)</f>
        <v>0</v>
      </c>
      <c r="K2" s="24">
        <f>SUM(I2,E2)</f>
        <v>0</v>
      </c>
      <c r="L2" s="18">
        <f t="shared" ref="L2:M33" si="0">SUM(D2+F2+H2)</f>
        <v>34.4817044161884</v>
      </c>
      <c r="M2" s="18">
        <f t="shared" si="0"/>
        <v>34481704.416188397</v>
      </c>
      <c r="N2" s="18">
        <f>_xlfn.PERCENTOF(E2,M2)*100</f>
        <v>0</v>
      </c>
      <c r="O2" s="18">
        <f>_xlfn.PERCENTOF(G2,M2)*100</f>
        <v>100</v>
      </c>
      <c r="P2" s="18">
        <f t="shared" ref="P2:P65" si="1">_xlfn.PERCENTOF(I2,M2)*100</f>
        <v>0</v>
      </c>
      <c r="Q2" s="18">
        <f>SUM(N2,P2)</f>
        <v>0</v>
      </c>
      <c r="R2" s="24">
        <v>0</v>
      </c>
      <c r="S2" s="24">
        <f t="shared" ref="S2:S65" si="2">QUOTIENT(R2,L2)</f>
        <v>0</v>
      </c>
      <c r="T2" s="24"/>
      <c r="U2" s="24"/>
      <c r="V2" s="24"/>
      <c r="W2" s="24"/>
      <c r="X2" s="24"/>
      <c r="Y2" s="24"/>
      <c r="Z2" s="24"/>
      <c r="AA2" s="24">
        <f>PRODUCT(0.39,AC2)</f>
        <v>74.101881190486495</v>
      </c>
      <c r="AB2" s="24">
        <f>100-AA2</f>
        <v>25.898118809513505</v>
      </c>
      <c r="AC2" s="24">
        <v>190.00482356534999</v>
      </c>
      <c r="AD2" s="24">
        <v>190.89503429969599</v>
      </c>
      <c r="AE2" s="24" t="s">
        <v>430</v>
      </c>
      <c r="AF2" s="119" t="s">
        <v>26</v>
      </c>
      <c r="AG2" s="119" t="s">
        <v>31</v>
      </c>
    </row>
    <row r="3" spans="1:33" hidden="1" x14ac:dyDescent="0.25">
      <c r="A3" s="32" t="s">
        <v>133</v>
      </c>
      <c r="B3" s="40" t="s">
        <v>134</v>
      </c>
      <c r="C3" s="40">
        <v>5</v>
      </c>
      <c r="D3" s="40">
        <v>2.4189514741590901</v>
      </c>
      <c r="E3" s="40">
        <v>2418951.4741590898</v>
      </c>
      <c r="F3" s="40">
        <v>42.466574214077099</v>
      </c>
      <c r="G3" s="40">
        <v>42466574.2140771</v>
      </c>
      <c r="H3" s="40">
        <v>2.9259331059502598</v>
      </c>
      <c r="I3" s="40">
        <v>2925933.1059502601</v>
      </c>
      <c r="J3" s="40">
        <f>SUM(H3,D3)</f>
        <v>5.3448845801093494</v>
      </c>
      <c r="K3" s="40">
        <f>SUM(I3,E3)</f>
        <v>5344884.5801093504</v>
      </c>
      <c r="L3" s="34">
        <f t="shared" si="0"/>
        <v>47.811458794186443</v>
      </c>
      <c r="M3" s="34">
        <f t="shared" si="0"/>
        <v>47811458.794186451</v>
      </c>
      <c r="N3" s="34">
        <f t="shared" ref="N3:N66" si="3">_xlfn.PERCENTOF(E3,M3)*100</f>
        <v>5.059355090109106</v>
      </c>
      <c r="O3" s="34">
        <f t="shared" ref="O3:O66" si="4">_xlfn.PERCENTOF(G3,M3)*100</f>
        <v>88.820912988416794</v>
      </c>
      <c r="P3" s="34">
        <f t="shared" si="1"/>
        <v>6.1197319214740915</v>
      </c>
      <c r="Q3" s="34">
        <f>SUM(N3,P3)</f>
        <v>11.179087011583198</v>
      </c>
      <c r="R3">
        <v>31442</v>
      </c>
      <c r="S3" s="40">
        <f>QUOTIENT(R3,L3)</f>
        <v>657</v>
      </c>
      <c r="T3" s="40">
        <v>1.7402463126927599E-3</v>
      </c>
      <c r="U3" s="40">
        <f t="shared" ref="U3:U65" si="5">PRODUCT(0.39,W3)</f>
        <v>18.217059730613798</v>
      </c>
      <c r="V3" s="40">
        <f>100-U3</f>
        <v>81.782940269386202</v>
      </c>
      <c r="W3" s="40">
        <v>46.7104095656764</v>
      </c>
      <c r="X3" s="40">
        <f t="shared" ref="X3:X65" si="6">PRODUCT(0.39,Z3)</f>
        <v>1.2039815727621281E-3</v>
      </c>
      <c r="Y3" s="40">
        <f t="shared" ref="Y3:Y65" si="7">100-X3</f>
        <v>99.998796018427242</v>
      </c>
      <c r="Z3">
        <v>3.0871322378516102E-3</v>
      </c>
      <c r="AA3" s="40">
        <f t="shared" ref="AA3:AA66" si="8">PRODUCT(0.39,AC3)</f>
        <v>22.129968568722536</v>
      </c>
      <c r="AB3" s="40">
        <f t="shared" ref="AB3:AB66" si="9">100-AA3</f>
        <v>77.870031431277468</v>
      </c>
      <c r="AC3">
        <v>56.743509150570603</v>
      </c>
      <c r="AD3">
        <v>209.44600587902801</v>
      </c>
      <c r="AE3" s="40" t="s">
        <v>430</v>
      </c>
      <c r="AF3" s="49" t="s">
        <v>31</v>
      </c>
      <c r="AG3" s="49" t="s">
        <v>31</v>
      </c>
    </row>
    <row r="4" spans="1:33" x14ac:dyDescent="0.25">
      <c r="A4" s="32" t="s">
        <v>133</v>
      </c>
      <c r="B4" s="34" t="s">
        <v>135</v>
      </c>
      <c r="C4" s="34">
        <v>0</v>
      </c>
      <c r="D4" s="34">
        <v>0</v>
      </c>
      <c r="E4" s="34">
        <v>0</v>
      </c>
      <c r="F4" s="34">
        <v>52.765191455590198</v>
      </c>
      <c r="G4" s="34">
        <v>52765191.455590203</v>
      </c>
      <c r="H4" s="40">
        <v>0</v>
      </c>
      <c r="I4" s="40">
        <v>0</v>
      </c>
      <c r="J4" s="40">
        <v>0</v>
      </c>
      <c r="K4" s="40">
        <v>0</v>
      </c>
      <c r="L4" s="34">
        <f t="shared" si="0"/>
        <v>52.765191455590198</v>
      </c>
      <c r="M4" s="34">
        <f t="shared" si="0"/>
        <v>52765191.455590203</v>
      </c>
      <c r="N4" s="34">
        <f t="shared" si="3"/>
        <v>0</v>
      </c>
      <c r="O4" s="34">
        <f t="shared" si="4"/>
        <v>100</v>
      </c>
      <c r="P4" s="34">
        <f t="shared" si="1"/>
        <v>0</v>
      </c>
      <c r="Q4" s="34">
        <f t="shared" ref="Q4:Q67" si="10">SUM(N4,P4)</f>
        <v>0</v>
      </c>
      <c r="R4" s="34">
        <v>0</v>
      </c>
      <c r="S4" s="40">
        <f t="shared" si="2"/>
        <v>0</v>
      </c>
      <c r="T4" s="34"/>
      <c r="U4" s="34"/>
      <c r="V4" s="34"/>
      <c r="W4" s="34"/>
      <c r="X4" s="34"/>
      <c r="Y4" s="34"/>
      <c r="Z4" s="34"/>
      <c r="AA4" s="34">
        <f t="shared" si="8"/>
        <v>68.75316993090351</v>
      </c>
      <c r="AB4" s="34">
        <f t="shared" si="9"/>
        <v>31.24683006909649</v>
      </c>
      <c r="AC4" s="34">
        <v>176.29017931000899</v>
      </c>
      <c r="AD4" s="34">
        <v>176.88820774018399</v>
      </c>
      <c r="AE4" s="34" t="s">
        <v>430</v>
      </c>
      <c r="AF4" s="49" t="s">
        <v>26</v>
      </c>
      <c r="AG4" s="49" t="s">
        <v>31</v>
      </c>
    </row>
    <row r="5" spans="1:33" ht="30" hidden="1" x14ac:dyDescent="0.25">
      <c r="A5" s="32" t="s">
        <v>133</v>
      </c>
      <c r="B5" s="40" t="s">
        <v>137</v>
      </c>
      <c r="C5" s="40">
        <v>0</v>
      </c>
      <c r="D5" s="40">
        <v>0</v>
      </c>
      <c r="E5" s="40">
        <v>0</v>
      </c>
      <c r="F5" s="40">
        <v>59.180391558313701</v>
      </c>
      <c r="G5" s="40">
        <v>59180391.558313698</v>
      </c>
      <c r="H5" s="40">
        <v>0</v>
      </c>
      <c r="I5" s="40">
        <v>0</v>
      </c>
      <c r="J5" s="40">
        <f t="shared" ref="J5:K67" si="11">SUM(H5,D5)</f>
        <v>0</v>
      </c>
      <c r="K5" s="40">
        <f t="shared" si="11"/>
        <v>0</v>
      </c>
      <c r="L5" s="34">
        <f t="shared" si="0"/>
        <v>59.180391558313701</v>
      </c>
      <c r="M5" s="34">
        <f t="shared" si="0"/>
        <v>59180391.558313698</v>
      </c>
      <c r="N5" s="34">
        <f t="shared" si="3"/>
        <v>0</v>
      </c>
      <c r="O5" s="34">
        <f t="shared" si="4"/>
        <v>100</v>
      </c>
      <c r="P5" s="34">
        <f t="shared" si="1"/>
        <v>0</v>
      </c>
      <c r="Q5" s="34">
        <f t="shared" si="10"/>
        <v>0</v>
      </c>
      <c r="R5" s="40">
        <v>0</v>
      </c>
      <c r="S5" s="40">
        <f t="shared" si="2"/>
        <v>0</v>
      </c>
      <c r="T5" s="34"/>
      <c r="U5" s="34"/>
      <c r="V5" s="34"/>
      <c r="W5" s="34"/>
      <c r="X5" s="34"/>
      <c r="Y5" s="34"/>
      <c r="Z5" s="34"/>
      <c r="AA5" s="40">
        <f t="shared" si="8"/>
        <v>69.965277888199992</v>
      </c>
      <c r="AB5" s="40">
        <f t="shared" si="9"/>
        <v>30.034722111800008</v>
      </c>
      <c r="AC5" s="40">
        <v>179.39814843128201</v>
      </c>
      <c r="AD5" s="40">
        <v>179.81889078931701</v>
      </c>
      <c r="AE5" s="40" t="s">
        <v>431</v>
      </c>
      <c r="AF5" s="49" t="s">
        <v>26</v>
      </c>
      <c r="AG5" s="49" t="s">
        <v>26</v>
      </c>
    </row>
    <row r="6" spans="1:33" ht="30" hidden="1" x14ac:dyDescent="0.25">
      <c r="A6" s="32" t="s">
        <v>133</v>
      </c>
      <c r="B6" s="40" t="s">
        <v>138</v>
      </c>
      <c r="C6" s="40">
        <v>3</v>
      </c>
      <c r="D6" s="40">
        <v>2.8229180763543901E-2</v>
      </c>
      <c r="E6" s="40">
        <v>28229.1807635439</v>
      </c>
      <c r="F6" s="40">
        <v>50.3256460330404</v>
      </c>
      <c r="G6" s="40">
        <v>50325646.033040397</v>
      </c>
      <c r="H6" s="40">
        <v>4.6002388707936097E-2</v>
      </c>
      <c r="I6" s="40">
        <v>46002.388707936101</v>
      </c>
      <c r="J6" s="40">
        <f t="shared" si="11"/>
        <v>7.4231569471479991E-2</v>
      </c>
      <c r="K6" s="40">
        <f t="shared" si="11"/>
        <v>74231.569471480005</v>
      </c>
      <c r="L6" s="34">
        <f t="shared" si="0"/>
        <v>50.399877602511879</v>
      </c>
      <c r="M6" s="34">
        <f t="shared" si="0"/>
        <v>50399877.602511875</v>
      </c>
      <c r="N6" s="34">
        <f t="shared" si="3"/>
        <v>5.6010415315248675E-2</v>
      </c>
      <c r="O6" s="34">
        <f t="shared" si="4"/>
        <v>99.852714782252221</v>
      </c>
      <c r="P6" s="34">
        <f t="shared" si="1"/>
        <v>9.1274802432542795E-2</v>
      </c>
      <c r="Q6" s="34">
        <f t="shared" si="10"/>
        <v>0.14728521774779146</v>
      </c>
      <c r="R6">
        <v>374</v>
      </c>
      <c r="S6" s="40">
        <f t="shared" si="2"/>
        <v>7</v>
      </c>
      <c r="T6" s="40">
        <v>3.2027075067162501E-3</v>
      </c>
      <c r="U6" s="40">
        <f t="shared" si="5"/>
        <v>18.755123945776415</v>
      </c>
      <c r="V6" s="40">
        <f t="shared" ref="V6:V68" si="12">100-U6</f>
        <v>81.244876054223582</v>
      </c>
      <c r="W6" s="40">
        <v>48.090061399426702</v>
      </c>
      <c r="X6" s="40">
        <f t="shared" si="6"/>
        <v>2.0592984929680802E-3</v>
      </c>
      <c r="Y6" s="40">
        <f t="shared" si="7"/>
        <v>99.997940701507034</v>
      </c>
      <c r="Z6">
        <v>5.2802525460720002E-3</v>
      </c>
      <c r="AA6" s="40">
        <f t="shared" si="8"/>
        <v>23.885129678735442</v>
      </c>
      <c r="AB6" s="40">
        <f t="shared" si="9"/>
        <v>76.114870321264561</v>
      </c>
      <c r="AC6">
        <v>61.243922253167803</v>
      </c>
      <c r="AD6">
        <v>254.21039401798899</v>
      </c>
      <c r="AE6" s="40" t="s">
        <v>432</v>
      </c>
      <c r="AF6" s="49" t="s">
        <v>31</v>
      </c>
      <c r="AG6" s="49" t="s">
        <v>31</v>
      </c>
    </row>
    <row r="7" spans="1:33" ht="30" hidden="1" x14ac:dyDescent="0.25">
      <c r="A7" s="32" t="s">
        <v>133</v>
      </c>
      <c r="B7" s="40" t="s">
        <v>140</v>
      </c>
      <c r="C7" s="40">
        <v>5</v>
      </c>
      <c r="D7" s="40">
        <v>1.1706985533943099</v>
      </c>
      <c r="E7" s="40">
        <v>1170698.5533943099</v>
      </c>
      <c r="F7" s="40">
        <v>33.601366220125897</v>
      </c>
      <c r="G7" s="40">
        <v>33601366.220125899</v>
      </c>
      <c r="H7" s="40">
        <v>1.17694684075711</v>
      </c>
      <c r="I7" s="40">
        <v>1176946.8407571099</v>
      </c>
      <c r="J7" s="40">
        <f t="shared" si="11"/>
        <v>2.3476453941514199</v>
      </c>
      <c r="K7" s="40">
        <f t="shared" si="11"/>
        <v>2347645.3941514199</v>
      </c>
      <c r="L7" s="34">
        <f t="shared" si="0"/>
        <v>35.949011614277318</v>
      </c>
      <c r="M7" s="34">
        <f t="shared" si="0"/>
        <v>35949011.614277318</v>
      </c>
      <c r="N7" s="34">
        <f t="shared" si="3"/>
        <v>3.2565528253059437</v>
      </c>
      <c r="O7" s="34">
        <f t="shared" si="4"/>
        <v>93.46951337816742</v>
      </c>
      <c r="P7" s="34">
        <f t="shared" si="1"/>
        <v>3.273933796526634</v>
      </c>
      <c r="Q7" s="34">
        <f t="shared" si="10"/>
        <v>6.5304866218325781</v>
      </c>
      <c r="R7">
        <v>14676</v>
      </c>
      <c r="S7" s="40">
        <f t="shared" si="2"/>
        <v>408</v>
      </c>
      <c r="T7" s="40">
        <v>1.6865222714841301E-3</v>
      </c>
      <c r="U7" s="40">
        <f t="shared" si="5"/>
        <v>19.047795981089735</v>
      </c>
      <c r="V7" s="40">
        <f t="shared" si="12"/>
        <v>80.952204018910265</v>
      </c>
      <c r="W7" s="40">
        <v>48.840502515614702</v>
      </c>
      <c r="X7" s="40">
        <f t="shared" si="6"/>
        <v>9.5984715968370072E-4</v>
      </c>
      <c r="Y7" s="40">
        <f t="shared" si="7"/>
        <v>99.999040152840323</v>
      </c>
      <c r="Z7">
        <v>2.4611465632915401E-3</v>
      </c>
      <c r="AA7" s="40">
        <f t="shared" si="8"/>
        <v>21.936643406315277</v>
      </c>
      <c r="AB7" s="40">
        <f t="shared" si="9"/>
        <v>78.063356593684716</v>
      </c>
      <c r="AC7">
        <v>56.247803605936603</v>
      </c>
      <c r="AD7">
        <v>228.11857739525399</v>
      </c>
      <c r="AE7" s="40" t="s">
        <v>432</v>
      </c>
      <c r="AF7" s="49" t="s">
        <v>31</v>
      </c>
      <c r="AG7" s="49" t="s">
        <v>31</v>
      </c>
    </row>
    <row r="8" spans="1:33" hidden="1" x14ac:dyDescent="0.25">
      <c r="A8" s="32" t="s">
        <v>133</v>
      </c>
      <c r="B8" s="40" t="s">
        <v>142</v>
      </c>
      <c r="C8" s="40">
        <v>0</v>
      </c>
      <c r="D8" s="40">
        <v>0</v>
      </c>
      <c r="E8" s="40">
        <v>0</v>
      </c>
      <c r="F8" s="40">
        <v>39.309601734456699</v>
      </c>
      <c r="G8" s="40">
        <v>39309601.734456703</v>
      </c>
      <c r="H8" s="40">
        <v>0</v>
      </c>
      <c r="I8" s="40">
        <v>0</v>
      </c>
      <c r="J8" s="40">
        <f t="shared" si="11"/>
        <v>0</v>
      </c>
      <c r="K8" s="40">
        <f t="shared" si="11"/>
        <v>0</v>
      </c>
      <c r="L8" s="34">
        <f t="shared" si="0"/>
        <v>39.309601734456699</v>
      </c>
      <c r="M8" s="34">
        <f t="shared" si="0"/>
        <v>39309601.734456703</v>
      </c>
      <c r="N8" s="34">
        <f t="shared" si="3"/>
        <v>0</v>
      </c>
      <c r="O8" s="34">
        <f t="shared" si="4"/>
        <v>100</v>
      </c>
      <c r="P8" s="34">
        <f t="shared" si="1"/>
        <v>0</v>
      </c>
      <c r="Q8" s="34">
        <f t="shared" si="10"/>
        <v>0</v>
      </c>
      <c r="R8" s="40">
        <v>0</v>
      </c>
      <c r="S8" s="40">
        <f t="shared" si="2"/>
        <v>0</v>
      </c>
      <c r="T8" s="40"/>
      <c r="U8" s="40"/>
      <c r="V8" s="40"/>
      <c r="W8" s="40"/>
      <c r="X8" s="40"/>
      <c r="Y8" s="40"/>
      <c r="Z8" s="40"/>
      <c r="AA8" s="40">
        <f t="shared" si="8"/>
        <v>72.996281214845041</v>
      </c>
      <c r="AB8" s="40">
        <f t="shared" si="9"/>
        <v>27.003718785154959</v>
      </c>
      <c r="AC8" s="40">
        <v>187.16995183293599</v>
      </c>
      <c r="AD8" s="40">
        <v>187.70777873479099</v>
      </c>
      <c r="AE8" s="40" t="s">
        <v>430</v>
      </c>
      <c r="AF8" s="49" t="s">
        <v>26</v>
      </c>
      <c r="AG8" s="49" t="s">
        <v>26</v>
      </c>
    </row>
    <row r="9" spans="1:33" hidden="1" x14ac:dyDescent="0.25">
      <c r="A9" s="32" t="s">
        <v>133</v>
      </c>
      <c r="B9" s="40" t="s">
        <v>143</v>
      </c>
      <c r="C9" s="40">
        <v>3</v>
      </c>
      <c r="D9" s="40">
        <v>3.8873605620970898E-2</v>
      </c>
      <c r="E9" s="40">
        <v>38873.605620970899</v>
      </c>
      <c r="F9" s="40">
        <v>44.544424899514397</v>
      </c>
      <c r="G9" s="40">
        <v>44544424.899514399</v>
      </c>
      <c r="H9" s="40">
        <v>6.1620359687831097E-2</v>
      </c>
      <c r="I9" s="40">
        <v>61620.3596878311</v>
      </c>
      <c r="J9" s="40">
        <f t="shared" si="11"/>
        <v>0.100493965308802</v>
      </c>
      <c r="K9" s="40">
        <f t="shared" si="11"/>
        <v>100493.965308802</v>
      </c>
      <c r="L9" s="34">
        <f t="shared" si="0"/>
        <v>44.644918864823197</v>
      </c>
      <c r="M9" s="34">
        <f t="shared" si="0"/>
        <v>44644918.8648232</v>
      </c>
      <c r="N9" s="34">
        <f t="shared" si="3"/>
        <v>8.7072855342560249E-2</v>
      </c>
      <c r="O9" s="34">
        <f t="shared" si="4"/>
        <v>99.774903913224534</v>
      </c>
      <c r="P9" s="34">
        <f t="shared" si="1"/>
        <v>0.13802323143291287</v>
      </c>
      <c r="Q9" s="34">
        <f t="shared" si="10"/>
        <v>0.2250960867754731</v>
      </c>
      <c r="R9">
        <v>510</v>
      </c>
      <c r="S9" s="40">
        <f t="shared" si="2"/>
        <v>11</v>
      </c>
      <c r="T9" s="40">
        <v>2.22563650459051E-3</v>
      </c>
      <c r="U9" s="40">
        <f t="shared" si="5"/>
        <v>21.06295777948916</v>
      </c>
      <c r="V9" s="40">
        <f t="shared" si="12"/>
        <v>78.937042220510847</v>
      </c>
      <c r="W9" s="40">
        <v>54.007584049972202</v>
      </c>
      <c r="X9" s="40">
        <f t="shared" si="6"/>
        <v>3.376857647672293E-3</v>
      </c>
      <c r="Y9" s="40">
        <f t="shared" si="7"/>
        <v>99.996623142352334</v>
      </c>
      <c r="Z9">
        <v>8.6586093530058791E-3</v>
      </c>
      <c r="AA9" s="40">
        <f t="shared" si="8"/>
        <v>21.940758511483697</v>
      </c>
      <c r="AB9" s="40">
        <f t="shared" si="9"/>
        <v>78.059241488516307</v>
      </c>
      <c r="AC9">
        <v>56.258355157650499</v>
      </c>
      <c r="AD9">
        <v>253.723292756056</v>
      </c>
      <c r="AE9" s="40" t="s">
        <v>430</v>
      </c>
      <c r="AF9" s="49" t="s">
        <v>31</v>
      </c>
      <c r="AG9" s="49" t="s">
        <v>31</v>
      </c>
    </row>
    <row r="10" spans="1:33" ht="15.75" hidden="1" thickBot="1" x14ac:dyDescent="0.3">
      <c r="A10" s="58" t="s">
        <v>133</v>
      </c>
      <c r="B10" s="76" t="s">
        <v>145</v>
      </c>
      <c r="C10" s="76">
        <v>0</v>
      </c>
      <c r="D10" s="76">
        <v>0</v>
      </c>
      <c r="E10" s="76">
        <v>0</v>
      </c>
      <c r="F10" s="76">
        <v>34.445875461772999</v>
      </c>
      <c r="G10" s="76">
        <v>34445875.461773001</v>
      </c>
      <c r="H10" s="76">
        <v>0</v>
      </c>
      <c r="I10" s="76">
        <v>0</v>
      </c>
      <c r="J10" s="76">
        <f t="shared" si="11"/>
        <v>0</v>
      </c>
      <c r="K10" s="76">
        <f t="shared" si="11"/>
        <v>0</v>
      </c>
      <c r="L10" s="61">
        <f t="shared" si="0"/>
        <v>34.445875461772999</v>
      </c>
      <c r="M10" s="61">
        <f t="shared" si="0"/>
        <v>34445875.461773001</v>
      </c>
      <c r="N10" s="105">
        <f t="shared" si="3"/>
        <v>0</v>
      </c>
      <c r="O10" s="105">
        <f t="shared" si="4"/>
        <v>100</v>
      </c>
      <c r="P10" s="105">
        <f t="shared" si="1"/>
        <v>0</v>
      </c>
      <c r="Q10" s="61">
        <f t="shared" si="10"/>
        <v>0</v>
      </c>
      <c r="R10" s="76">
        <v>0</v>
      </c>
      <c r="S10" s="76">
        <f t="shared" si="2"/>
        <v>0</v>
      </c>
      <c r="T10" s="76"/>
      <c r="U10" s="76"/>
      <c r="V10" s="76"/>
      <c r="W10" s="76"/>
      <c r="X10" s="76"/>
      <c r="Y10" s="76"/>
      <c r="Z10" s="76"/>
      <c r="AA10" s="76">
        <f t="shared" si="8"/>
        <v>78.639411878308707</v>
      </c>
      <c r="AB10" s="76">
        <f t="shared" si="9"/>
        <v>21.360588121691293</v>
      </c>
      <c r="AC10" s="76">
        <v>201.63951763668899</v>
      </c>
      <c r="AD10" s="76">
        <v>203.58545937632101</v>
      </c>
      <c r="AE10" s="76" t="s">
        <v>430</v>
      </c>
      <c r="AF10" s="66" t="s">
        <v>26</v>
      </c>
      <c r="AG10" s="66" t="s">
        <v>31</v>
      </c>
    </row>
    <row r="11" spans="1:33" ht="15.75" hidden="1" thickTop="1" x14ac:dyDescent="0.25">
      <c r="A11" s="78" t="s">
        <v>147</v>
      </c>
      <c r="B11" s="80" t="s">
        <v>433</v>
      </c>
      <c r="C11" s="80">
        <v>5</v>
      </c>
      <c r="D11" s="80">
        <v>1.10105105960278</v>
      </c>
      <c r="E11" s="80">
        <v>1101051.05960278</v>
      </c>
      <c r="F11" s="80">
        <v>36.6848758309809</v>
      </c>
      <c r="G11" s="80">
        <v>36684875.830980897</v>
      </c>
      <c r="H11" s="80">
        <v>1.67282768087971</v>
      </c>
      <c r="I11" s="80">
        <v>1672827.68087971</v>
      </c>
      <c r="J11" s="80">
        <f t="shared" si="11"/>
        <v>2.7738787404824903</v>
      </c>
      <c r="K11" s="80">
        <f t="shared" si="11"/>
        <v>2773878.74048249</v>
      </c>
      <c r="L11" s="80">
        <f t="shared" si="0"/>
        <v>39.458754571463395</v>
      </c>
      <c r="M11" s="80">
        <f t="shared" si="0"/>
        <v>39458754.571463391</v>
      </c>
      <c r="N11" s="18">
        <f t="shared" si="3"/>
        <v>2.7903847233918051</v>
      </c>
      <c r="O11" s="18">
        <f t="shared" si="4"/>
        <v>92.970181723655912</v>
      </c>
      <c r="P11" s="18">
        <f t="shared" si="1"/>
        <v>4.2394335529522786</v>
      </c>
      <c r="Q11" s="80">
        <f t="shared" si="10"/>
        <v>7.0298182763440842</v>
      </c>
      <c r="R11" s="80">
        <v>13236</v>
      </c>
      <c r="S11" s="134">
        <f t="shared" si="2"/>
        <v>335</v>
      </c>
      <c r="T11" s="80">
        <v>1.393937272951E-3</v>
      </c>
      <c r="U11" s="80">
        <f t="shared" si="5"/>
        <v>17.246708695673846</v>
      </c>
      <c r="V11" s="80">
        <f t="shared" si="12"/>
        <v>82.753291304326154</v>
      </c>
      <c r="W11" s="80">
        <v>44.222329988907298</v>
      </c>
      <c r="X11" s="80">
        <f t="shared" si="6"/>
        <v>1.1123296944424508E-3</v>
      </c>
      <c r="Y11" s="80">
        <f t="shared" si="7"/>
        <v>99.998887670305564</v>
      </c>
      <c r="Z11" s="80">
        <v>2.8521274216473098E-3</v>
      </c>
      <c r="AA11" s="80">
        <f t="shared" si="8"/>
        <v>22.677576532001158</v>
      </c>
      <c r="AB11" s="80">
        <f t="shared" si="9"/>
        <v>77.322423467998846</v>
      </c>
      <c r="AC11" s="80">
        <v>58.147632133336302</v>
      </c>
      <c r="AD11" s="80">
        <v>222.48748695527701</v>
      </c>
      <c r="AE11" s="80" t="s">
        <v>432</v>
      </c>
      <c r="AF11" s="89" t="s">
        <v>31</v>
      </c>
      <c r="AG11" s="89" t="s">
        <v>31</v>
      </c>
    </row>
    <row r="12" spans="1:33" hidden="1" x14ac:dyDescent="0.25">
      <c r="A12" s="32" t="s">
        <v>147</v>
      </c>
      <c r="B12" s="34" t="s">
        <v>434</v>
      </c>
      <c r="C12" s="34">
        <v>0</v>
      </c>
      <c r="D12" s="34">
        <v>0</v>
      </c>
      <c r="E12" s="34">
        <v>0</v>
      </c>
      <c r="F12" s="34">
        <v>23.285698927165502</v>
      </c>
      <c r="G12" s="34">
        <v>23285698.927165501</v>
      </c>
      <c r="H12" s="34">
        <v>0</v>
      </c>
      <c r="I12" s="34">
        <v>0</v>
      </c>
      <c r="J12" s="34">
        <f t="shared" si="11"/>
        <v>0</v>
      </c>
      <c r="K12" s="34">
        <f t="shared" si="11"/>
        <v>0</v>
      </c>
      <c r="L12" s="34">
        <f t="shared" si="0"/>
        <v>23.285698927165502</v>
      </c>
      <c r="M12" s="34">
        <f t="shared" si="0"/>
        <v>23285698.927165501</v>
      </c>
      <c r="N12" s="34">
        <f t="shared" si="3"/>
        <v>0</v>
      </c>
      <c r="O12" s="34">
        <f t="shared" si="4"/>
        <v>100</v>
      </c>
      <c r="P12" s="34">
        <f t="shared" si="1"/>
        <v>0</v>
      </c>
      <c r="Q12" s="34">
        <f t="shared" si="10"/>
        <v>0</v>
      </c>
      <c r="R12" s="34">
        <v>0</v>
      </c>
      <c r="S12" s="40">
        <f t="shared" si="2"/>
        <v>0</v>
      </c>
      <c r="T12" s="34"/>
      <c r="U12" s="34"/>
      <c r="V12" s="34"/>
      <c r="W12" s="34"/>
      <c r="X12" s="34"/>
      <c r="Y12" s="34"/>
      <c r="Z12" s="34"/>
      <c r="AA12" s="34">
        <f t="shared" si="8"/>
        <v>88.071803283468427</v>
      </c>
      <c r="AB12" s="34">
        <f t="shared" si="9"/>
        <v>11.928196716531573</v>
      </c>
      <c r="AC12" s="34">
        <v>225.825136624278</v>
      </c>
      <c r="AD12" s="34">
        <v>226.20956987807301</v>
      </c>
      <c r="AE12" s="34" t="s">
        <v>430</v>
      </c>
      <c r="AF12" s="49" t="s">
        <v>26</v>
      </c>
      <c r="AG12" s="49" t="s">
        <v>26</v>
      </c>
    </row>
    <row r="13" spans="1:33" hidden="1" x14ac:dyDescent="0.25">
      <c r="A13" s="32" t="s">
        <v>147</v>
      </c>
      <c r="B13" s="34" t="s">
        <v>435</v>
      </c>
      <c r="C13" s="34">
        <v>4</v>
      </c>
      <c r="D13" s="34">
        <v>0.29350791791238101</v>
      </c>
      <c r="E13" s="34">
        <v>293507.917912381</v>
      </c>
      <c r="F13" s="34">
        <v>15.274202936317799</v>
      </c>
      <c r="G13" s="34">
        <v>15274202.9363178</v>
      </c>
      <c r="H13" s="34">
        <v>0.433279454825032</v>
      </c>
      <c r="I13" s="34">
        <v>433279.45482503198</v>
      </c>
      <c r="J13" s="34">
        <f t="shared" si="11"/>
        <v>0.72678737273741301</v>
      </c>
      <c r="K13" s="34">
        <f t="shared" si="11"/>
        <v>726787.37273741304</v>
      </c>
      <c r="L13" s="34">
        <f t="shared" si="0"/>
        <v>16.000990309055211</v>
      </c>
      <c r="M13" s="34">
        <f t="shared" si="0"/>
        <v>16000990.309055213</v>
      </c>
      <c r="N13" s="34">
        <f t="shared" si="3"/>
        <v>1.8343109535306716</v>
      </c>
      <c r="O13" s="34">
        <f t="shared" si="4"/>
        <v>95.457860053036143</v>
      </c>
      <c r="P13" s="34">
        <f t="shared" si="1"/>
        <v>2.7078289934331896</v>
      </c>
      <c r="Q13" s="34">
        <f t="shared" si="10"/>
        <v>4.5421399469638608</v>
      </c>
      <c r="R13" s="34">
        <v>3527</v>
      </c>
      <c r="S13" s="40">
        <f t="shared" si="2"/>
        <v>220</v>
      </c>
      <c r="T13" s="34">
        <v>6.4897006377577704E-3</v>
      </c>
      <c r="U13" s="34">
        <f t="shared" si="5"/>
        <v>22.262919795323377</v>
      </c>
      <c r="V13" s="34">
        <f t="shared" si="12"/>
        <v>77.73708020467663</v>
      </c>
      <c r="W13" s="34">
        <v>57.084409731598399</v>
      </c>
      <c r="X13" s="34">
        <f t="shared" si="6"/>
        <v>28.726131591995955</v>
      </c>
      <c r="Y13" s="34">
        <f t="shared" si="7"/>
        <v>71.273868408004049</v>
      </c>
      <c r="Z13" s="34">
        <v>73.656747671784501</v>
      </c>
      <c r="AA13" s="34">
        <f t="shared" si="8"/>
        <v>95.262757908968922</v>
      </c>
      <c r="AB13" s="34">
        <f t="shared" si="9"/>
        <v>4.737242091031078</v>
      </c>
      <c r="AC13" s="34">
        <v>244.26348181786901</v>
      </c>
      <c r="AD13" s="34">
        <v>236.769542537879</v>
      </c>
      <c r="AE13" s="34"/>
      <c r="AF13" s="49" t="s">
        <v>31</v>
      </c>
      <c r="AG13" s="49" t="s">
        <v>31</v>
      </c>
    </row>
    <row r="14" spans="1:33" hidden="1" x14ac:dyDescent="0.25">
      <c r="A14" s="32" t="s">
        <v>147</v>
      </c>
      <c r="B14" s="40" t="s">
        <v>436</v>
      </c>
      <c r="C14" s="40">
        <v>0</v>
      </c>
      <c r="D14" s="40">
        <v>0</v>
      </c>
      <c r="E14" s="40">
        <v>0</v>
      </c>
      <c r="F14" s="40">
        <v>38.261990111238099</v>
      </c>
      <c r="G14" s="40">
        <v>38261990.1112381</v>
      </c>
      <c r="H14" s="40">
        <v>0</v>
      </c>
      <c r="I14" s="40">
        <v>0</v>
      </c>
      <c r="J14" s="40">
        <f t="shared" si="11"/>
        <v>0</v>
      </c>
      <c r="K14" s="40">
        <f t="shared" si="11"/>
        <v>0</v>
      </c>
      <c r="L14" s="34">
        <f t="shared" si="0"/>
        <v>38.261990111238099</v>
      </c>
      <c r="M14" s="34">
        <f t="shared" si="0"/>
        <v>38261990.1112381</v>
      </c>
      <c r="N14" s="34">
        <f t="shared" si="3"/>
        <v>0</v>
      </c>
      <c r="O14" s="34">
        <f t="shared" si="4"/>
        <v>100</v>
      </c>
      <c r="P14" s="34">
        <f t="shared" si="1"/>
        <v>0</v>
      </c>
      <c r="Q14" s="34">
        <f t="shared" si="10"/>
        <v>0</v>
      </c>
      <c r="R14" s="40">
        <v>0</v>
      </c>
      <c r="S14" s="40">
        <f t="shared" si="2"/>
        <v>0</v>
      </c>
      <c r="T14" s="40"/>
      <c r="U14" s="40"/>
      <c r="V14" s="40"/>
      <c r="W14" s="40"/>
      <c r="X14" s="40"/>
      <c r="Y14" s="40"/>
      <c r="Z14" s="40"/>
      <c r="AA14" s="40">
        <f t="shared" si="8"/>
        <v>88.150655720744766</v>
      </c>
      <c r="AB14" s="40">
        <f t="shared" si="9"/>
        <v>11.849344279255234</v>
      </c>
      <c r="AC14" s="40">
        <v>226.027322360884</v>
      </c>
      <c r="AD14" s="40">
        <v>226.249798242873</v>
      </c>
      <c r="AE14" s="40" t="s">
        <v>430</v>
      </c>
      <c r="AF14" s="49" t="s">
        <v>26</v>
      </c>
      <c r="AG14" s="49" t="s">
        <v>31</v>
      </c>
    </row>
    <row r="15" spans="1:33" hidden="1" x14ac:dyDescent="0.25">
      <c r="A15" s="32" t="s">
        <v>147</v>
      </c>
      <c r="B15" s="34" t="s">
        <v>437</v>
      </c>
      <c r="C15" s="34">
        <v>5</v>
      </c>
      <c r="D15" s="34">
        <v>1.2963002071749701</v>
      </c>
      <c r="E15" s="34">
        <v>1296300.2071749701</v>
      </c>
      <c r="F15" s="34">
        <v>36.839214253828601</v>
      </c>
      <c r="G15" s="34">
        <v>36839214.2538286</v>
      </c>
      <c r="H15" s="34">
        <v>4.9859102555506603</v>
      </c>
      <c r="I15" s="34">
        <v>4985910.2555506602</v>
      </c>
      <c r="J15" s="34">
        <f t="shared" si="11"/>
        <v>6.2822104627256303</v>
      </c>
      <c r="K15" s="34">
        <f t="shared" si="11"/>
        <v>6282210.46272563</v>
      </c>
      <c r="L15" s="34">
        <f t="shared" si="0"/>
        <v>43.12142471655423</v>
      </c>
      <c r="M15" s="34">
        <f t="shared" si="0"/>
        <v>43121424.716554232</v>
      </c>
      <c r="N15" s="34">
        <f t="shared" si="3"/>
        <v>3.0061627501776931</v>
      </c>
      <c r="O15" s="34">
        <f t="shared" si="4"/>
        <v>85.431347632830182</v>
      </c>
      <c r="P15" s="34">
        <f t="shared" si="1"/>
        <v>11.562489616992128</v>
      </c>
      <c r="Q15" s="34">
        <f t="shared" si="10"/>
        <v>14.568652367169822</v>
      </c>
      <c r="R15" s="34">
        <v>16378</v>
      </c>
      <c r="S15" s="40">
        <f t="shared" si="2"/>
        <v>379</v>
      </c>
      <c r="T15" s="34">
        <v>4.0462254546582603E-3</v>
      </c>
      <c r="U15" s="34">
        <f t="shared" si="5"/>
        <v>22.009583351646153</v>
      </c>
      <c r="V15" s="34">
        <f t="shared" si="12"/>
        <v>77.990416648353843</v>
      </c>
      <c r="W15" s="34">
        <v>56.434829106785003</v>
      </c>
      <c r="X15" s="34">
        <f t="shared" si="6"/>
        <v>23.417370440373315</v>
      </c>
      <c r="Y15" s="34">
        <f t="shared" si="7"/>
        <v>76.582629559626682</v>
      </c>
      <c r="Z15" s="34">
        <v>60.044539590700801</v>
      </c>
      <c r="AA15" s="34">
        <f t="shared" si="8"/>
        <v>89.399832356049544</v>
      </c>
      <c r="AB15" s="34">
        <f t="shared" si="9"/>
        <v>10.600167643950456</v>
      </c>
      <c r="AC15" s="34">
        <v>229.23033937448599</v>
      </c>
      <c r="AD15" s="34">
        <v>204.63214416020799</v>
      </c>
      <c r="AE15" s="34"/>
      <c r="AF15" s="49" t="s">
        <v>31</v>
      </c>
      <c r="AG15" s="49" t="s">
        <v>31</v>
      </c>
    </row>
    <row r="16" spans="1:33" hidden="1" x14ac:dyDescent="0.25">
      <c r="A16" s="32" t="s">
        <v>147</v>
      </c>
      <c r="B16" s="34" t="s">
        <v>438</v>
      </c>
      <c r="C16" s="34">
        <v>5</v>
      </c>
      <c r="D16" s="34">
        <v>1.18261592727903</v>
      </c>
      <c r="E16" s="34">
        <v>1182615.92727903</v>
      </c>
      <c r="F16" s="34">
        <v>35.232230510061697</v>
      </c>
      <c r="G16" s="34">
        <v>35232230.510061704</v>
      </c>
      <c r="H16" s="34">
        <v>1.66138914111346</v>
      </c>
      <c r="I16" s="34">
        <v>1661389.1411134601</v>
      </c>
      <c r="J16" s="34">
        <f t="shared" si="11"/>
        <v>2.84400506839249</v>
      </c>
      <c r="K16" s="34">
        <f t="shared" si="11"/>
        <v>2844005.06839249</v>
      </c>
      <c r="L16" s="34">
        <f t="shared" si="0"/>
        <v>38.076235578454188</v>
      </c>
      <c r="M16" s="34">
        <f t="shared" si="0"/>
        <v>38076235.578454196</v>
      </c>
      <c r="N16" s="34">
        <f t="shared" si="3"/>
        <v>3.1059160899514566</v>
      </c>
      <c r="O16" s="34">
        <f t="shared" si="4"/>
        <v>92.530760919018476</v>
      </c>
      <c r="P16" s="34">
        <f t="shared" si="1"/>
        <v>4.3633229910300617</v>
      </c>
      <c r="Q16" s="34">
        <f t="shared" si="10"/>
        <v>7.4692390809815183</v>
      </c>
      <c r="R16" s="34">
        <v>14342</v>
      </c>
      <c r="S16" s="40">
        <f t="shared" si="2"/>
        <v>376</v>
      </c>
      <c r="T16" s="34">
        <v>2.18429765664041E-3</v>
      </c>
      <c r="U16" s="34">
        <f t="shared" si="5"/>
        <v>22.392599026006053</v>
      </c>
      <c r="V16" s="34">
        <f t="shared" si="12"/>
        <v>77.607400973993947</v>
      </c>
      <c r="W16" s="34">
        <v>57.416920579502701</v>
      </c>
      <c r="X16" s="34">
        <f t="shared" si="6"/>
        <v>30.244155500896312</v>
      </c>
      <c r="Y16" s="34">
        <f t="shared" si="7"/>
        <v>69.755844499103688</v>
      </c>
      <c r="Z16" s="34">
        <v>77.549116668964899</v>
      </c>
      <c r="AA16" s="34">
        <f t="shared" si="8"/>
        <v>92.62805817828459</v>
      </c>
      <c r="AB16" s="34">
        <f t="shared" si="9"/>
        <v>7.37194182171541</v>
      </c>
      <c r="AC16" s="34">
        <v>237.507841482781</v>
      </c>
      <c r="AD16" s="34">
        <v>224.66348939471499</v>
      </c>
      <c r="AE16" s="34"/>
      <c r="AF16" s="49" t="s">
        <v>31</v>
      </c>
      <c r="AG16" s="49" t="s">
        <v>31</v>
      </c>
    </row>
    <row r="17" spans="1:33" hidden="1" x14ac:dyDescent="0.25">
      <c r="A17" s="32" t="s">
        <v>147</v>
      </c>
      <c r="B17" s="34" t="s">
        <v>439</v>
      </c>
      <c r="C17" s="34">
        <v>0</v>
      </c>
      <c r="D17" s="34">
        <v>0</v>
      </c>
      <c r="E17" s="34">
        <v>0</v>
      </c>
      <c r="F17" s="34">
        <v>38.6251213726215</v>
      </c>
      <c r="G17" s="34">
        <v>38625121.372621499</v>
      </c>
      <c r="H17" s="34">
        <v>0</v>
      </c>
      <c r="I17" s="34">
        <v>0</v>
      </c>
      <c r="J17" s="34">
        <f t="shared" si="11"/>
        <v>0</v>
      </c>
      <c r="K17" s="34">
        <f t="shared" si="11"/>
        <v>0</v>
      </c>
      <c r="L17" s="34">
        <f t="shared" si="0"/>
        <v>38.6251213726215</v>
      </c>
      <c r="M17" s="34">
        <f t="shared" si="0"/>
        <v>38625121.372621499</v>
      </c>
      <c r="N17" s="34">
        <f t="shared" si="3"/>
        <v>0</v>
      </c>
      <c r="O17" s="34">
        <f t="shared" si="4"/>
        <v>100</v>
      </c>
      <c r="P17" s="34">
        <f t="shared" si="1"/>
        <v>0</v>
      </c>
      <c r="Q17" s="34">
        <f t="shared" si="10"/>
        <v>0</v>
      </c>
      <c r="R17" s="34">
        <v>0</v>
      </c>
      <c r="S17" s="40">
        <f t="shared" si="2"/>
        <v>0</v>
      </c>
      <c r="T17" s="34"/>
      <c r="U17" s="34"/>
      <c r="V17" s="34"/>
      <c r="W17" s="34"/>
      <c r="X17" s="34"/>
      <c r="Y17" s="34"/>
      <c r="Z17" s="34"/>
      <c r="AA17" s="34">
        <f t="shared" si="8"/>
        <v>88.573181838169475</v>
      </c>
      <c r="AB17" s="34">
        <f t="shared" si="9"/>
        <v>11.426818161830525</v>
      </c>
      <c r="AC17" s="34">
        <v>227.110722661973</v>
      </c>
      <c r="AD17" s="34">
        <v>227.541527545517</v>
      </c>
      <c r="AE17" s="34"/>
      <c r="AF17" s="49" t="s">
        <v>26</v>
      </c>
      <c r="AG17" s="49" t="s">
        <v>26</v>
      </c>
    </row>
    <row r="18" spans="1:33" hidden="1" x14ac:dyDescent="0.25">
      <c r="A18" s="32" t="s">
        <v>147</v>
      </c>
      <c r="B18" s="34" t="s">
        <v>440</v>
      </c>
      <c r="C18" s="34">
        <v>4</v>
      </c>
      <c r="D18" s="34">
        <v>0.313431272295632</v>
      </c>
      <c r="E18" s="34">
        <v>313431.272295631</v>
      </c>
      <c r="F18" s="34">
        <v>38.427767507714499</v>
      </c>
      <c r="G18" s="34">
        <v>38427767.507714503</v>
      </c>
      <c r="H18" s="34">
        <v>0.495312010601616</v>
      </c>
      <c r="I18" s="34">
        <v>495312.010601616</v>
      </c>
      <c r="J18" s="34">
        <f t="shared" si="11"/>
        <v>0.80874328289724806</v>
      </c>
      <c r="K18" s="34">
        <f t="shared" si="11"/>
        <v>808743.282897247</v>
      </c>
      <c r="L18" s="34">
        <f t="shared" si="0"/>
        <v>39.236510790611746</v>
      </c>
      <c r="M18" s="34">
        <f t="shared" si="0"/>
        <v>39236510.790611751</v>
      </c>
      <c r="N18" s="34">
        <f t="shared" si="3"/>
        <v>0.79882554788900018</v>
      </c>
      <c r="O18" s="34">
        <f t="shared" si="4"/>
        <v>97.938799178109491</v>
      </c>
      <c r="P18" s="34">
        <f t="shared" si="1"/>
        <v>1.2623752740015071</v>
      </c>
      <c r="Q18" s="34">
        <f t="shared" si="10"/>
        <v>2.0612008218905071</v>
      </c>
      <c r="R18" s="34">
        <v>4161</v>
      </c>
      <c r="S18" s="40">
        <f t="shared" si="2"/>
        <v>106</v>
      </c>
      <c r="T18" s="34">
        <v>4.7792191617190803E-3</v>
      </c>
      <c r="U18" s="34">
        <f t="shared" si="5"/>
        <v>22.760616999814083</v>
      </c>
      <c r="V18" s="34">
        <f t="shared" si="12"/>
        <v>77.23938300018591</v>
      </c>
      <c r="W18" s="34">
        <v>58.360556409779697</v>
      </c>
      <c r="X18" s="34">
        <f t="shared" si="6"/>
        <v>29.677052817392255</v>
      </c>
      <c r="Y18" s="34">
        <f t="shared" si="7"/>
        <v>70.322947182607749</v>
      </c>
      <c r="Z18" s="34">
        <v>76.095007224082707</v>
      </c>
      <c r="AA18" s="34">
        <f t="shared" si="8"/>
        <v>97.038785501727816</v>
      </c>
      <c r="AB18" s="34">
        <f t="shared" si="9"/>
        <v>2.9612144982721844</v>
      </c>
      <c r="AC18" s="34">
        <v>248.81739872237901</v>
      </c>
      <c r="AD18" s="34">
        <v>245.12997685710701</v>
      </c>
      <c r="AE18" s="34"/>
      <c r="AF18" s="49" t="s">
        <v>31</v>
      </c>
      <c r="AG18" s="49" t="s">
        <v>31</v>
      </c>
    </row>
    <row r="19" spans="1:33" hidden="1" x14ac:dyDescent="0.25">
      <c r="A19" s="32" t="s">
        <v>147</v>
      </c>
      <c r="B19" s="34" t="s">
        <v>441</v>
      </c>
      <c r="C19" s="34">
        <v>0</v>
      </c>
      <c r="D19" s="40">
        <v>0</v>
      </c>
      <c r="E19" s="40">
        <v>0</v>
      </c>
      <c r="F19" s="34">
        <v>34.263505457839202</v>
      </c>
      <c r="G19" s="34">
        <v>34263505.457839198</v>
      </c>
      <c r="H19" s="34">
        <v>0</v>
      </c>
      <c r="I19" s="34">
        <v>0</v>
      </c>
      <c r="J19" s="34">
        <f t="shared" si="11"/>
        <v>0</v>
      </c>
      <c r="K19" s="34">
        <f t="shared" si="11"/>
        <v>0</v>
      </c>
      <c r="L19" s="34">
        <f t="shared" si="0"/>
        <v>34.263505457839202</v>
      </c>
      <c r="M19" s="34">
        <f t="shared" si="0"/>
        <v>34263505.457839198</v>
      </c>
      <c r="N19" s="34">
        <f t="shared" si="3"/>
        <v>0</v>
      </c>
      <c r="O19" s="34">
        <f t="shared" si="4"/>
        <v>100</v>
      </c>
      <c r="P19" s="34">
        <f t="shared" si="1"/>
        <v>0</v>
      </c>
      <c r="Q19" s="34">
        <f t="shared" si="10"/>
        <v>0</v>
      </c>
      <c r="R19" s="34">
        <v>0</v>
      </c>
      <c r="S19" s="40">
        <f t="shared" si="2"/>
        <v>0</v>
      </c>
      <c r="T19" s="34"/>
      <c r="U19" s="34"/>
      <c r="V19" s="34"/>
      <c r="W19" s="34"/>
      <c r="X19" s="34"/>
      <c r="Y19" s="34"/>
      <c r="Z19" s="34"/>
      <c r="AA19" s="34">
        <f t="shared" si="8"/>
        <v>81.909352708992898</v>
      </c>
      <c r="AB19" s="34">
        <f t="shared" si="9"/>
        <v>18.090647291007102</v>
      </c>
      <c r="AC19" s="34">
        <v>210.02398130511</v>
      </c>
      <c r="AD19" s="34">
        <v>210.31597077293901</v>
      </c>
      <c r="AE19" s="34" t="s">
        <v>430</v>
      </c>
      <c r="AF19" s="49" t="s">
        <v>26</v>
      </c>
      <c r="AG19" s="49" t="s">
        <v>31</v>
      </c>
    </row>
    <row r="20" spans="1:33" hidden="1" x14ac:dyDescent="0.25">
      <c r="A20" s="32" t="s">
        <v>147</v>
      </c>
      <c r="B20" s="34" t="s">
        <v>442</v>
      </c>
      <c r="C20" s="34">
        <v>4</v>
      </c>
      <c r="D20" s="34">
        <v>0.75003920662258505</v>
      </c>
      <c r="E20" s="34">
        <v>750039.20662258496</v>
      </c>
      <c r="F20" s="34">
        <v>62.999562615572501</v>
      </c>
      <c r="G20" s="34">
        <v>62999562.615572497</v>
      </c>
      <c r="H20" s="34">
        <v>0.91623472750985202</v>
      </c>
      <c r="I20" s="34">
        <v>916234.72750985203</v>
      </c>
      <c r="J20" s="34">
        <f t="shared" si="11"/>
        <v>1.6662739341324371</v>
      </c>
      <c r="K20" s="34">
        <f t="shared" si="11"/>
        <v>1666273.934132437</v>
      </c>
      <c r="L20" s="34">
        <f t="shared" si="0"/>
        <v>64.665836549704935</v>
      </c>
      <c r="M20" s="34">
        <f t="shared" si="0"/>
        <v>64665836.549704932</v>
      </c>
      <c r="N20" s="34">
        <f t="shared" si="3"/>
        <v>1.159869332311309</v>
      </c>
      <c r="O20" s="34">
        <f t="shared" si="4"/>
        <v>97.423254653403163</v>
      </c>
      <c r="P20" s="34">
        <f t="shared" si="1"/>
        <v>1.4168760142855259</v>
      </c>
      <c r="Q20" s="34">
        <f t="shared" si="10"/>
        <v>2.5767453465968346</v>
      </c>
      <c r="R20" s="34">
        <v>9161</v>
      </c>
      <c r="S20" s="40">
        <f t="shared" si="2"/>
        <v>141</v>
      </c>
      <c r="T20" s="34">
        <v>4.3546794913709103E-3</v>
      </c>
      <c r="U20" s="34">
        <f t="shared" si="5"/>
        <v>22.011251372121844</v>
      </c>
      <c r="V20" s="34">
        <f t="shared" si="12"/>
        <v>77.988748627878152</v>
      </c>
      <c r="W20" s="34">
        <v>56.439106082363701</v>
      </c>
      <c r="X20" s="34">
        <f t="shared" si="6"/>
        <v>29.387662000515743</v>
      </c>
      <c r="Y20" s="34">
        <f t="shared" si="7"/>
        <v>70.612337999484254</v>
      </c>
      <c r="Z20" s="34">
        <v>75.352979488501902</v>
      </c>
      <c r="AA20" s="34">
        <f t="shared" si="8"/>
        <v>97.171879054619083</v>
      </c>
      <c r="AB20" s="34">
        <f t="shared" si="9"/>
        <v>2.8281209453809169</v>
      </c>
      <c r="AC20" s="34">
        <v>249.15866424261301</v>
      </c>
      <c r="AD20" s="34">
        <v>244.43599707081199</v>
      </c>
      <c r="AE20" s="34" t="s">
        <v>443</v>
      </c>
      <c r="AF20" s="49" t="s">
        <v>31</v>
      </c>
      <c r="AG20" s="49" t="s">
        <v>31</v>
      </c>
    </row>
    <row r="21" spans="1:33" hidden="1" x14ac:dyDescent="0.25">
      <c r="A21" s="32" t="s">
        <v>147</v>
      </c>
      <c r="B21" s="34" t="s">
        <v>444</v>
      </c>
      <c r="C21" s="34">
        <v>4</v>
      </c>
      <c r="D21" s="34">
        <v>0.69413768499582895</v>
      </c>
      <c r="E21" s="34">
        <v>694137.68499582901</v>
      </c>
      <c r="F21" s="34">
        <v>46.128120626849302</v>
      </c>
      <c r="G21" s="34">
        <v>46128120.626849301</v>
      </c>
      <c r="H21" s="34">
        <v>0.69221129552836203</v>
      </c>
      <c r="I21" s="34">
        <v>692211.29552836204</v>
      </c>
      <c r="J21" s="34">
        <f t="shared" si="11"/>
        <v>1.3863489805241911</v>
      </c>
      <c r="K21" s="34">
        <f t="shared" si="11"/>
        <v>1386348.9805241912</v>
      </c>
      <c r="L21" s="34">
        <f t="shared" si="0"/>
        <v>47.514469607373492</v>
      </c>
      <c r="M21" s="34">
        <f t="shared" si="0"/>
        <v>47514469.607373491</v>
      </c>
      <c r="N21" s="34">
        <f t="shared" si="3"/>
        <v>1.4608974713002161</v>
      </c>
      <c r="O21" s="34">
        <f t="shared" si="4"/>
        <v>97.082259379132267</v>
      </c>
      <c r="P21" s="34">
        <f t="shared" si="1"/>
        <v>1.45684314956752</v>
      </c>
      <c r="Q21" s="34">
        <f t="shared" si="10"/>
        <v>2.9177406208677361</v>
      </c>
      <c r="R21" s="34">
        <v>8831</v>
      </c>
      <c r="S21" s="40">
        <f t="shared" si="2"/>
        <v>185</v>
      </c>
      <c r="T21" s="34">
        <v>2.6609878987073799E-3</v>
      </c>
      <c r="U21" s="34">
        <f t="shared" si="5"/>
        <v>18.791641673533988</v>
      </c>
      <c r="V21" s="34">
        <f t="shared" si="12"/>
        <v>81.208358326466012</v>
      </c>
      <c r="W21" s="34">
        <v>48.183696598805099</v>
      </c>
      <c r="X21" s="34">
        <f t="shared" si="6"/>
        <v>1.5721894148737179E-3</v>
      </c>
      <c r="Y21" s="34">
        <f t="shared" si="7"/>
        <v>99.998427810585127</v>
      </c>
      <c r="Z21" s="34">
        <v>4.0312549099326099E-3</v>
      </c>
      <c r="AA21" s="34">
        <f t="shared" si="8"/>
        <v>23.220524250460212</v>
      </c>
      <c r="AB21" s="34">
        <f t="shared" si="9"/>
        <v>76.779475749539785</v>
      </c>
      <c r="AC21" s="34">
        <v>59.539805770410801</v>
      </c>
      <c r="AD21" s="34">
        <v>241.95737110112401</v>
      </c>
      <c r="AE21" s="34" t="s">
        <v>430</v>
      </c>
      <c r="AF21" s="49" t="s">
        <v>31</v>
      </c>
      <c r="AG21" s="49" t="s">
        <v>31</v>
      </c>
    </row>
    <row r="22" spans="1:33" hidden="1" x14ac:dyDescent="0.25">
      <c r="A22" s="32" t="s">
        <v>147</v>
      </c>
      <c r="B22" s="34" t="s">
        <v>445</v>
      </c>
      <c r="C22" s="34">
        <v>4</v>
      </c>
      <c r="D22" s="34">
        <v>0.26958669152306902</v>
      </c>
      <c r="E22" s="34">
        <v>269586.69152306899</v>
      </c>
      <c r="F22" s="34">
        <v>31.224600363395101</v>
      </c>
      <c r="G22" s="34">
        <v>31224600.363395099</v>
      </c>
      <c r="H22" s="34">
        <v>0.54896353750689098</v>
      </c>
      <c r="I22" s="34">
        <v>548963.53750689095</v>
      </c>
      <c r="J22" s="34">
        <f t="shared" si="11"/>
        <v>0.81855022902996</v>
      </c>
      <c r="K22" s="34">
        <f t="shared" si="11"/>
        <v>818550.22902996</v>
      </c>
      <c r="L22" s="34">
        <f t="shared" si="0"/>
        <v>32.043150592425064</v>
      </c>
      <c r="M22" s="34">
        <f t="shared" si="0"/>
        <v>32043150.592425056</v>
      </c>
      <c r="N22" s="34">
        <f t="shared" si="3"/>
        <v>0.8413239227068976</v>
      </c>
      <c r="O22" s="34">
        <f t="shared" si="4"/>
        <v>97.445475198610893</v>
      </c>
      <c r="P22" s="34">
        <f t="shared" si="1"/>
        <v>1.7132008786822135</v>
      </c>
      <c r="Q22" s="34">
        <f t="shared" si="10"/>
        <v>2.5545248013891113</v>
      </c>
      <c r="R22" s="34">
        <v>3009</v>
      </c>
      <c r="S22" s="40">
        <f t="shared" si="2"/>
        <v>93</v>
      </c>
      <c r="T22" s="34">
        <v>1.8566059879958599E-3</v>
      </c>
      <c r="U22" s="34">
        <f t="shared" si="5"/>
        <v>18.758071245896581</v>
      </c>
      <c r="V22" s="34">
        <f t="shared" si="12"/>
        <v>81.241928754103412</v>
      </c>
      <c r="W22" s="34">
        <v>48.097618579222001</v>
      </c>
      <c r="X22" s="34">
        <f t="shared" si="6"/>
        <v>3.4902176633477204E-3</v>
      </c>
      <c r="Y22" s="34">
        <f t="shared" si="7"/>
        <v>99.996509782336659</v>
      </c>
      <c r="Z22" s="34">
        <v>8.9492760598659498E-3</v>
      </c>
      <c r="AA22" s="34">
        <f t="shared" si="8"/>
        <v>22.830686910091089</v>
      </c>
      <c r="AB22" s="34">
        <f t="shared" si="9"/>
        <v>77.169313089908911</v>
      </c>
      <c r="AC22" s="34">
        <v>58.540222846387401</v>
      </c>
      <c r="AD22" s="34">
        <v>245.19008577093399</v>
      </c>
      <c r="AE22" s="34" t="s">
        <v>430</v>
      </c>
      <c r="AF22" s="49" t="s">
        <v>31</v>
      </c>
      <c r="AG22" s="49" t="s">
        <v>31</v>
      </c>
    </row>
    <row r="23" spans="1:33" ht="15.75" hidden="1" thickBot="1" x14ac:dyDescent="0.3">
      <c r="A23" s="103" t="s">
        <v>147</v>
      </c>
      <c r="B23" s="105" t="s">
        <v>446</v>
      </c>
      <c r="C23" s="105">
        <v>3</v>
      </c>
      <c r="D23" s="105">
        <v>2.5556599804571398E-2</v>
      </c>
      <c r="E23" s="105">
        <v>25556.5998045714</v>
      </c>
      <c r="F23" s="105">
        <v>36.1095011225486</v>
      </c>
      <c r="G23" s="105">
        <v>36109501.122548603</v>
      </c>
      <c r="H23" s="105">
        <v>2.7842548317281599E-2</v>
      </c>
      <c r="I23" s="105">
        <v>27842.548317281598</v>
      </c>
      <c r="J23" s="105">
        <f t="shared" si="11"/>
        <v>5.3399148121852993E-2</v>
      </c>
      <c r="K23" s="105">
        <f t="shared" si="11"/>
        <v>53399.148121852995</v>
      </c>
      <c r="L23" s="105">
        <f t="shared" si="0"/>
        <v>36.162900270670455</v>
      </c>
      <c r="M23" s="105">
        <f t="shared" si="0"/>
        <v>36162900.270670459</v>
      </c>
      <c r="N23" s="61">
        <f t="shared" si="3"/>
        <v>7.0670769250492926E-2</v>
      </c>
      <c r="O23" s="61">
        <f t="shared" si="4"/>
        <v>99.852337208237785</v>
      </c>
      <c r="P23" s="61">
        <f t="shared" si="1"/>
        <v>7.6992022511709349E-2</v>
      </c>
      <c r="Q23" s="105">
        <f t="shared" si="10"/>
        <v>0.14766279176220226</v>
      </c>
      <c r="R23" s="105">
        <v>367</v>
      </c>
      <c r="S23" s="145">
        <f t="shared" si="2"/>
        <v>10</v>
      </c>
      <c r="T23" s="105">
        <v>4.3225614354014301E-3</v>
      </c>
      <c r="U23" s="105">
        <f t="shared" si="5"/>
        <v>19.584084763676081</v>
      </c>
      <c r="V23" s="105">
        <f t="shared" si="12"/>
        <v>80.415915236323912</v>
      </c>
      <c r="W23" s="105">
        <v>50.2156019581438</v>
      </c>
      <c r="X23" s="105">
        <f t="shared" si="6"/>
        <v>5.6170579511671953E-3</v>
      </c>
      <c r="Y23" s="105">
        <f t="shared" si="7"/>
        <v>99.99438294204883</v>
      </c>
      <c r="Z23" s="105">
        <v>1.4402712695300499E-2</v>
      </c>
      <c r="AA23" s="105">
        <f t="shared" si="8"/>
        <v>27.61371035712089</v>
      </c>
      <c r="AB23" s="105">
        <f t="shared" si="9"/>
        <v>72.386289642879106</v>
      </c>
      <c r="AC23" s="105">
        <v>70.804385531079205</v>
      </c>
      <c r="AD23" s="105">
        <v>254.573785473745</v>
      </c>
      <c r="AE23" s="105"/>
      <c r="AF23" s="114" t="s">
        <v>31</v>
      </c>
      <c r="AG23" s="114" t="s">
        <v>31</v>
      </c>
    </row>
    <row r="24" spans="1:33" ht="30.75" hidden="1" thickTop="1" x14ac:dyDescent="0.25">
      <c r="A24" s="15" t="s">
        <v>58</v>
      </c>
      <c r="B24" s="24" t="s">
        <v>57</v>
      </c>
      <c r="C24" s="24">
        <v>5</v>
      </c>
      <c r="D24" s="24">
        <v>1.30497925598471</v>
      </c>
      <c r="E24" s="24">
        <v>1304979.2559847101</v>
      </c>
      <c r="F24" s="24">
        <v>16.301572587316102</v>
      </c>
      <c r="G24" s="24">
        <v>16301572.5873161</v>
      </c>
      <c r="H24" s="24">
        <v>2.8008749803836901</v>
      </c>
      <c r="I24" s="24">
        <v>2800874.98038369</v>
      </c>
      <c r="J24" s="24">
        <f t="shared" si="11"/>
        <v>4.1058542363684003</v>
      </c>
      <c r="K24" s="24">
        <f t="shared" si="11"/>
        <v>4105854.2363684</v>
      </c>
      <c r="L24" s="18">
        <f t="shared" si="0"/>
        <v>20.407426823684499</v>
      </c>
      <c r="M24" s="18">
        <f t="shared" si="0"/>
        <v>20407426.823684499</v>
      </c>
      <c r="N24" s="80">
        <f t="shared" si="3"/>
        <v>6.3946291086055709</v>
      </c>
      <c r="O24" s="80">
        <f t="shared" si="4"/>
        <v>79.8805882199552</v>
      </c>
      <c r="P24" s="80">
        <f t="shared" si="1"/>
        <v>13.724782671439224</v>
      </c>
      <c r="Q24" s="18">
        <f t="shared" si="10"/>
        <v>20.119411780044793</v>
      </c>
      <c r="R24" s="24">
        <v>16386</v>
      </c>
      <c r="S24" s="24">
        <f t="shared" si="2"/>
        <v>802</v>
      </c>
      <c r="T24" s="24">
        <v>1.07177859172225E-3</v>
      </c>
      <c r="U24" s="24">
        <f t="shared" si="5"/>
        <v>17.149090391122638</v>
      </c>
      <c r="V24" s="24">
        <f t="shared" si="12"/>
        <v>82.850909608877359</v>
      </c>
      <c r="W24" s="24">
        <v>43.972026643904201</v>
      </c>
      <c r="X24" s="24">
        <f t="shared" si="6"/>
        <v>1.6409074841067168E-3</v>
      </c>
      <c r="Y24" s="24">
        <f t="shared" si="7"/>
        <v>99.998359092515898</v>
      </c>
      <c r="Z24" s="24">
        <v>4.20745508745312E-3</v>
      </c>
      <c r="AA24" s="24">
        <f t="shared" si="8"/>
        <v>21.933657135221324</v>
      </c>
      <c r="AB24" s="24">
        <f t="shared" si="9"/>
        <v>78.066342864778676</v>
      </c>
      <c r="AC24" s="24">
        <v>56.240146500567498</v>
      </c>
      <c r="AD24" s="24">
        <v>185.36880024804501</v>
      </c>
      <c r="AE24" s="24" t="s">
        <v>432</v>
      </c>
      <c r="AF24" s="119" t="s">
        <v>31</v>
      </c>
      <c r="AG24" s="119" t="s">
        <v>31</v>
      </c>
    </row>
    <row r="25" spans="1:33" hidden="1" x14ac:dyDescent="0.25">
      <c r="A25" s="32" t="s">
        <v>58</v>
      </c>
      <c r="B25" s="34" t="s">
        <v>447</v>
      </c>
      <c r="C25" s="34">
        <v>4</v>
      </c>
      <c r="D25" s="34">
        <v>0.44972950569662401</v>
      </c>
      <c r="E25" s="34">
        <v>449729.50569662399</v>
      </c>
      <c r="F25" s="34">
        <v>36.418907250095401</v>
      </c>
      <c r="G25" s="34">
        <v>36418907.250095397</v>
      </c>
      <c r="H25" s="34">
        <v>1.07627738878487</v>
      </c>
      <c r="I25" s="34">
        <v>1076277.38878487</v>
      </c>
      <c r="J25" s="34">
        <f t="shared" si="11"/>
        <v>1.526006894481494</v>
      </c>
      <c r="K25" s="34">
        <f t="shared" si="11"/>
        <v>1526006.8944814941</v>
      </c>
      <c r="L25" s="34">
        <f t="shared" si="0"/>
        <v>37.944914144576892</v>
      </c>
      <c r="M25" s="34">
        <f t="shared" si="0"/>
        <v>37944914.144576892</v>
      </c>
      <c r="N25" s="34">
        <f t="shared" si="3"/>
        <v>1.1852168224259894</v>
      </c>
      <c r="O25" s="34">
        <f t="shared" si="4"/>
        <v>95.978362505533326</v>
      </c>
      <c r="P25" s="34">
        <f t="shared" si="1"/>
        <v>2.8364206720406884</v>
      </c>
      <c r="Q25" s="34">
        <f t="shared" si="10"/>
        <v>4.0216374944666775</v>
      </c>
      <c r="R25" s="34">
        <v>5391</v>
      </c>
      <c r="S25" s="40">
        <f t="shared" si="2"/>
        <v>142</v>
      </c>
      <c r="T25" s="34">
        <v>3.8296720013022401E-3</v>
      </c>
      <c r="U25" s="34">
        <f t="shared" si="5"/>
        <v>22.829452306515311</v>
      </c>
      <c r="V25" s="34">
        <f t="shared" si="12"/>
        <v>77.170547693484693</v>
      </c>
      <c r="W25" s="34">
        <v>58.537057196193103</v>
      </c>
      <c r="X25" s="34">
        <f t="shared" si="6"/>
        <v>28.913176072914858</v>
      </c>
      <c r="Y25" s="34">
        <f t="shared" si="7"/>
        <v>71.086823927085135</v>
      </c>
      <c r="Z25" s="34">
        <v>74.136348904909894</v>
      </c>
      <c r="AA25" s="34">
        <f t="shared" si="8"/>
        <v>94.789819720177533</v>
      </c>
      <c r="AB25" s="34">
        <f t="shared" si="9"/>
        <v>5.2101802798224668</v>
      </c>
      <c r="AC25" s="34">
        <v>243.05081979532699</v>
      </c>
      <c r="AD25" s="34">
        <v>236.03102428567999</v>
      </c>
      <c r="AE25" s="34" t="s">
        <v>448</v>
      </c>
      <c r="AF25" s="49" t="s">
        <v>31</v>
      </c>
      <c r="AG25" s="49" t="s">
        <v>31</v>
      </c>
    </row>
    <row r="26" spans="1:33" hidden="1" x14ac:dyDescent="0.25">
      <c r="A26" s="32" t="s">
        <v>58</v>
      </c>
      <c r="B26" s="34" t="s">
        <v>449</v>
      </c>
      <c r="C26" s="34">
        <v>5</v>
      </c>
      <c r="D26" s="34">
        <v>1.4962412457437799</v>
      </c>
      <c r="E26" s="34">
        <v>1496241.2457437799</v>
      </c>
      <c r="F26" s="34">
        <v>22.263538697814202</v>
      </c>
      <c r="G26" s="34">
        <v>22263538.6978142</v>
      </c>
      <c r="H26" s="34">
        <v>3.8330376649112199</v>
      </c>
      <c r="I26" s="34">
        <v>3833037.6649112199</v>
      </c>
      <c r="J26" s="34">
        <f t="shared" si="11"/>
        <v>5.3292789106549998</v>
      </c>
      <c r="K26" s="34">
        <f t="shared" si="11"/>
        <v>5329278.9106549993</v>
      </c>
      <c r="L26" s="34">
        <f t="shared" si="0"/>
        <v>27.592817608469201</v>
      </c>
      <c r="M26" s="34">
        <f t="shared" si="0"/>
        <v>27592817.608469203</v>
      </c>
      <c r="N26" s="34">
        <f t="shared" si="3"/>
        <v>5.4225750591144086</v>
      </c>
      <c r="O26" s="34">
        <f t="shared" si="4"/>
        <v>80.685992324976411</v>
      </c>
      <c r="P26" s="34">
        <f t="shared" si="1"/>
        <v>13.891432615909171</v>
      </c>
      <c r="Q26" s="34">
        <f t="shared" si="10"/>
        <v>19.314007675023579</v>
      </c>
      <c r="R26" s="34">
        <v>17357</v>
      </c>
      <c r="S26" s="40">
        <f t="shared" si="2"/>
        <v>629</v>
      </c>
      <c r="T26" s="34">
        <v>3.0871322378516102E-3</v>
      </c>
      <c r="U26" s="34">
        <f t="shared" si="5"/>
        <v>21.774301335258304</v>
      </c>
      <c r="V26" s="34">
        <f t="shared" si="12"/>
        <v>78.225698664741699</v>
      </c>
      <c r="W26" s="34">
        <v>55.831541885277701</v>
      </c>
      <c r="X26" s="34">
        <f t="shared" si="6"/>
        <v>28.031737743273965</v>
      </c>
      <c r="Y26" s="34">
        <f t="shared" si="7"/>
        <v>71.968262256726035</v>
      </c>
      <c r="Z26" s="34">
        <v>71.876250623779399</v>
      </c>
      <c r="AA26" s="34">
        <f t="shared" si="8"/>
        <v>86.53207090012954</v>
      </c>
      <c r="AB26" s="34">
        <f t="shared" si="9"/>
        <v>13.46792909987046</v>
      </c>
      <c r="AC26" s="34">
        <v>221.87710487212701</v>
      </c>
      <c r="AD26" s="34">
        <v>190.35963209703101</v>
      </c>
      <c r="AE26" s="34" t="s">
        <v>430</v>
      </c>
      <c r="AF26" s="49" t="s">
        <v>31</v>
      </c>
      <c r="AG26" s="49" t="s">
        <v>31</v>
      </c>
    </row>
    <row r="27" spans="1:33" hidden="1" x14ac:dyDescent="0.25">
      <c r="A27" s="32" t="s">
        <v>58</v>
      </c>
      <c r="B27" s="40" t="s">
        <v>62</v>
      </c>
      <c r="C27" s="40">
        <v>0</v>
      </c>
      <c r="D27" s="40">
        <v>0</v>
      </c>
      <c r="E27" s="40">
        <v>0</v>
      </c>
      <c r="F27" s="40">
        <v>26.393988146354101</v>
      </c>
      <c r="G27" s="40">
        <v>26393988.146354102</v>
      </c>
      <c r="H27" s="40">
        <v>0</v>
      </c>
      <c r="I27" s="40">
        <v>0</v>
      </c>
      <c r="J27" s="40">
        <f t="shared" si="11"/>
        <v>0</v>
      </c>
      <c r="K27" s="40">
        <f t="shared" si="11"/>
        <v>0</v>
      </c>
      <c r="L27" s="34">
        <f t="shared" si="0"/>
        <v>26.393988146354101</v>
      </c>
      <c r="M27" s="34">
        <f t="shared" si="0"/>
        <v>26393988.146354102</v>
      </c>
      <c r="N27" s="34">
        <f t="shared" si="3"/>
        <v>0</v>
      </c>
      <c r="O27" s="34">
        <f t="shared" si="4"/>
        <v>100</v>
      </c>
      <c r="P27" s="34">
        <f t="shared" si="1"/>
        <v>0</v>
      </c>
      <c r="Q27" s="34">
        <f t="shared" si="10"/>
        <v>0</v>
      </c>
      <c r="R27" s="40">
        <v>0</v>
      </c>
      <c r="S27" s="40">
        <f t="shared" si="2"/>
        <v>0</v>
      </c>
      <c r="T27" s="40"/>
      <c r="U27" s="40"/>
      <c r="V27" s="40"/>
      <c r="W27" s="40"/>
      <c r="X27" s="40"/>
      <c r="Y27" s="40"/>
      <c r="Z27" s="40"/>
      <c r="AA27" s="40">
        <f t="shared" si="8"/>
        <v>91.577901898924736</v>
      </c>
      <c r="AB27" s="40">
        <f t="shared" si="9"/>
        <v>8.4220981010752638</v>
      </c>
      <c r="AC27" s="40">
        <v>234.815133074166</v>
      </c>
      <c r="AD27" s="40">
        <v>235.21230302519501</v>
      </c>
      <c r="AE27" s="40"/>
      <c r="AF27" s="49" t="s">
        <v>26</v>
      </c>
      <c r="AG27" s="49" t="s">
        <v>26</v>
      </c>
    </row>
    <row r="28" spans="1:33" hidden="1" x14ac:dyDescent="0.25">
      <c r="A28" s="32" t="s">
        <v>58</v>
      </c>
      <c r="B28" s="40" t="s">
        <v>63</v>
      </c>
      <c r="C28" s="40">
        <v>0</v>
      </c>
      <c r="D28" s="40">
        <v>0</v>
      </c>
      <c r="E28" s="40">
        <v>0</v>
      </c>
      <c r="F28" s="40">
        <v>37.3534161856618</v>
      </c>
      <c r="G28" s="40">
        <v>37353416.1856618</v>
      </c>
      <c r="H28" s="40">
        <v>0</v>
      </c>
      <c r="I28" s="40">
        <v>0</v>
      </c>
      <c r="J28" s="40">
        <f t="shared" si="11"/>
        <v>0</v>
      </c>
      <c r="K28" s="40">
        <f t="shared" si="11"/>
        <v>0</v>
      </c>
      <c r="L28" s="34">
        <f t="shared" si="0"/>
        <v>37.3534161856618</v>
      </c>
      <c r="M28" s="34">
        <f t="shared" si="0"/>
        <v>37353416.1856618</v>
      </c>
      <c r="N28" s="34">
        <f t="shared" si="3"/>
        <v>0</v>
      </c>
      <c r="O28" s="34">
        <f t="shared" si="4"/>
        <v>100</v>
      </c>
      <c r="P28" s="34">
        <f t="shared" si="1"/>
        <v>0</v>
      </c>
      <c r="Q28" s="34">
        <f t="shared" si="10"/>
        <v>0</v>
      </c>
      <c r="R28" s="40">
        <v>0</v>
      </c>
      <c r="S28" s="40">
        <f t="shared" si="2"/>
        <v>0</v>
      </c>
      <c r="T28" s="40"/>
      <c r="U28" s="40"/>
      <c r="V28" s="40"/>
      <c r="W28" s="40"/>
      <c r="X28" s="40"/>
      <c r="Y28" s="40"/>
      <c r="Z28" s="40"/>
      <c r="AA28" s="40">
        <f t="shared" si="8"/>
        <v>93.716584688771846</v>
      </c>
      <c r="AB28" s="40">
        <f t="shared" si="9"/>
        <v>6.2834153112281541</v>
      </c>
      <c r="AC28" s="40">
        <v>240.29893509941499</v>
      </c>
      <c r="AD28" s="40">
        <v>240.503330435858</v>
      </c>
      <c r="AE28" s="40"/>
      <c r="AF28" s="49" t="s">
        <v>26</v>
      </c>
      <c r="AG28" s="49" t="s">
        <v>26</v>
      </c>
    </row>
    <row r="29" spans="1:33" ht="30.75" hidden="1" thickBot="1" x14ac:dyDescent="0.3">
      <c r="A29" s="58" t="s">
        <v>58</v>
      </c>
      <c r="B29" s="76" t="s">
        <v>64</v>
      </c>
      <c r="C29" s="76">
        <v>0</v>
      </c>
      <c r="D29" s="40">
        <v>0</v>
      </c>
      <c r="E29" s="40">
        <v>0</v>
      </c>
      <c r="F29" s="76">
        <v>43.425042691181602</v>
      </c>
      <c r="G29" s="76">
        <v>43425042.6911816</v>
      </c>
      <c r="H29" s="76">
        <v>0</v>
      </c>
      <c r="I29" s="76">
        <v>0</v>
      </c>
      <c r="J29" s="76">
        <f t="shared" si="11"/>
        <v>0</v>
      </c>
      <c r="K29" s="76">
        <f t="shared" si="11"/>
        <v>0</v>
      </c>
      <c r="L29" s="61">
        <f t="shared" si="0"/>
        <v>43.425042691181602</v>
      </c>
      <c r="M29" s="61">
        <f t="shared" si="0"/>
        <v>43425042.6911816</v>
      </c>
      <c r="N29" s="105">
        <f t="shared" si="3"/>
        <v>0</v>
      </c>
      <c r="O29" s="105">
        <f t="shared" si="4"/>
        <v>100</v>
      </c>
      <c r="P29" s="105">
        <f t="shared" si="1"/>
        <v>0</v>
      </c>
      <c r="Q29" s="61">
        <f t="shared" si="10"/>
        <v>0</v>
      </c>
      <c r="R29" s="76">
        <v>0</v>
      </c>
      <c r="S29" s="76">
        <f t="shared" si="2"/>
        <v>0</v>
      </c>
      <c r="T29" s="76"/>
      <c r="U29" s="76"/>
      <c r="V29" s="76"/>
      <c r="W29" s="76"/>
      <c r="X29" s="76"/>
      <c r="Y29" s="76"/>
      <c r="Z29" s="76"/>
      <c r="AA29" s="76">
        <f t="shared" si="8"/>
        <v>90.082334698459348</v>
      </c>
      <c r="AB29" s="76">
        <f t="shared" si="9"/>
        <v>9.9176653015406515</v>
      </c>
      <c r="AC29" s="76">
        <v>230.980345380665</v>
      </c>
      <c r="AD29" s="76">
        <v>231.126849700657</v>
      </c>
      <c r="AE29" s="76" t="s">
        <v>450</v>
      </c>
      <c r="AF29" s="66" t="s">
        <v>26</v>
      </c>
      <c r="AG29" s="66" t="s">
        <v>26</v>
      </c>
    </row>
    <row r="30" spans="1:33" ht="15.75" hidden="1" thickTop="1" x14ac:dyDescent="0.25">
      <c r="A30" s="78" t="s">
        <v>91</v>
      </c>
      <c r="B30" s="134" t="s">
        <v>451</v>
      </c>
      <c r="C30" s="134">
        <v>5</v>
      </c>
      <c r="D30" s="134">
        <v>0.77279833560852296</v>
      </c>
      <c r="E30" s="134">
        <v>772798.33560852299</v>
      </c>
      <c r="F30" s="134">
        <v>13.015505252639899</v>
      </c>
      <c r="G30" s="134">
        <v>13015505.252639901</v>
      </c>
      <c r="H30" s="134">
        <v>0.87838789417997998</v>
      </c>
      <c r="I30" s="134">
        <v>878387.89417998004</v>
      </c>
      <c r="J30" s="134">
        <f t="shared" si="11"/>
        <v>1.6511862297885029</v>
      </c>
      <c r="K30" s="134">
        <f t="shared" si="11"/>
        <v>1651186.2297885031</v>
      </c>
      <c r="L30" s="80">
        <f t="shared" si="0"/>
        <v>14.666691482428401</v>
      </c>
      <c r="M30" s="80">
        <f t="shared" si="0"/>
        <v>14666691.482428404</v>
      </c>
      <c r="N30" s="18">
        <f t="shared" si="3"/>
        <v>5.2690706457852672</v>
      </c>
      <c r="O30" s="18">
        <f t="shared" si="4"/>
        <v>88.741931118093504</v>
      </c>
      <c r="P30" s="18">
        <f t="shared" si="1"/>
        <v>5.9889982361212315</v>
      </c>
      <c r="Q30" s="80">
        <f t="shared" si="10"/>
        <v>11.2580688819065</v>
      </c>
      <c r="R30" s="134">
        <v>11175</v>
      </c>
      <c r="S30" s="134">
        <f t="shared" si="2"/>
        <v>761</v>
      </c>
      <c r="T30" s="134">
        <v>1.99374672956764E-3</v>
      </c>
      <c r="U30" s="134">
        <f t="shared" si="5"/>
        <v>19.47735136568793</v>
      </c>
      <c r="V30" s="134">
        <f t="shared" si="12"/>
        <v>80.522648634312077</v>
      </c>
      <c r="W30" s="134">
        <v>49.941926578687003</v>
      </c>
      <c r="X30" s="134">
        <f t="shared" si="6"/>
        <v>1.9834568537771676E-3</v>
      </c>
      <c r="Y30" s="134">
        <f t="shared" si="7"/>
        <v>99.998016543146221</v>
      </c>
      <c r="Z30" s="134">
        <v>5.0857868045568397E-3</v>
      </c>
      <c r="AA30" s="134">
        <f t="shared" si="8"/>
        <v>22.981674833448981</v>
      </c>
      <c r="AB30" s="134">
        <f t="shared" si="9"/>
        <v>77.018325166551023</v>
      </c>
      <c r="AC30" s="134">
        <v>58.927371367817898</v>
      </c>
      <c r="AD30" s="134">
        <v>214.91625438072401</v>
      </c>
      <c r="AE30" s="134" t="s">
        <v>430</v>
      </c>
      <c r="AF30" s="89" t="s">
        <v>31</v>
      </c>
      <c r="AG30" s="89" t="s">
        <v>31</v>
      </c>
    </row>
    <row r="31" spans="1:33" hidden="1" x14ac:dyDescent="0.25">
      <c r="A31" s="32" t="s">
        <v>91</v>
      </c>
      <c r="B31" s="40" t="s">
        <v>452</v>
      </c>
      <c r="C31" s="40">
        <v>5</v>
      </c>
      <c r="D31" s="40">
        <v>1.3679159355241299</v>
      </c>
      <c r="E31" s="40">
        <v>1367915.93552414</v>
      </c>
      <c r="F31" s="40">
        <v>23.8867619114367</v>
      </c>
      <c r="G31" s="40">
        <v>23886761.911436699</v>
      </c>
      <c r="H31" s="40">
        <v>2.9139727775032598</v>
      </c>
      <c r="I31" s="40">
        <v>2913972.7775032599</v>
      </c>
      <c r="J31" s="40">
        <f t="shared" si="11"/>
        <v>4.2818887130273895</v>
      </c>
      <c r="K31" s="40">
        <f t="shared" si="11"/>
        <v>4281888.7130274</v>
      </c>
      <c r="L31" s="34">
        <f t="shared" si="0"/>
        <v>28.168650624464092</v>
      </c>
      <c r="M31" s="34">
        <f t="shared" si="0"/>
        <v>28168650.624464098</v>
      </c>
      <c r="N31" s="34">
        <f t="shared" si="3"/>
        <v>4.8561642293796039</v>
      </c>
      <c r="O31" s="34">
        <f t="shared" si="4"/>
        <v>84.799098934087255</v>
      </c>
      <c r="P31" s="34">
        <f t="shared" si="1"/>
        <v>10.344736836533141</v>
      </c>
      <c r="Q31" s="34">
        <f t="shared" si="10"/>
        <v>15.200901065912745</v>
      </c>
      <c r="R31" s="40">
        <v>15620</v>
      </c>
      <c r="S31" s="40">
        <f t="shared" si="2"/>
        <v>554</v>
      </c>
      <c r="T31" s="40">
        <v>2.1716102492064199E-3</v>
      </c>
      <c r="U31" s="40">
        <f t="shared" si="5"/>
        <v>19.587234862502115</v>
      </c>
      <c r="V31" s="40">
        <f t="shared" si="12"/>
        <v>80.412765137497885</v>
      </c>
      <c r="W31" s="40">
        <v>50.223679134620802</v>
      </c>
      <c r="X31" s="40">
        <f t="shared" si="6"/>
        <v>1.4439824083819954E-3</v>
      </c>
      <c r="Y31" s="40">
        <f t="shared" si="7"/>
        <v>99.998556017591625</v>
      </c>
      <c r="Z31" s="40">
        <v>3.7025189958512701E-3</v>
      </c>
      <c r="AA31" s="40">
        <f t="shared" si="8"/>
        <v>22.023636386100961</v>
      </c>
      <c r="AB31" s="40">
        <f t="shared" si="9"/>
        <v>77.976363613899039</v>
      </c>
      <c r="AC31" s="40">
        <v>56.470862528463996</v>
      </c>
      <c r="AD31" s="40">
        <v>200.62875456308001</v>
      </c>
      <c r="AE31" s="40" t="s">
        <v>430</v>
      </c>
      <c r="AF31" s="49" t="s">
        <v>31</v>
      </c>
      <c r="AG31" s="49" t="s">
        <v>31</v>
      </c>
    </row>
    <row r="32" spans="1:33" hidden="1" x14ac:dyDescent="0.25">
      <c r="A32" s="32" t="s">
        <v>91</v>
      </c>
      <c r="B32" s="40" t="s">
        <v>453</v>
      </c>
      <c r="C32" s="40">
        <v>4</v>
      </c>
      <c r="D32" s="40">
        <v>0.39510723796039099</v>
      </c>
      <c r="E32" s="40">
        <v>395107.23796039098</v>
      </c>
      <c r="F32" s="40">
        <v>45.5228399174892</v>
      </c>
      <c r="G32" s="40">
        <v>45522839.917489201</v>
      </c>
      <c r="H32" s="40">
        <v>0.72804504715027896</v>
      </c>
      <c r="I32" s="40">
        <v>728045.04715027905</v>
      </c>
      <c r="J32" s="40">
        <f t="shared" si="11"/>
        <v>1.1231522851106699</v>
      </c>
      <c r="K32" s="40">
        <f t="shared" si="11"/>
        <v>1123152.2851106701</v>
      </c>
      <c r="L32" s="34">
        <f t="shared" si="0"/>
        <v>46.645992202599871</v>
      </c>
      <c r="M32" s="34">
        <f t="shared" si="0"/>
        <v>46645992.202599868</v>
      </c>
      <c r="N32" s="34">
        <f t="shared" si="3"/>
        <v>0.847033623476808</v>
      </c>
      <c r="O32" s="34">
        <f t="shared" si="4"/>
        <v>97.592178380015099</v>
      </c>
      <c r="P32" s="34">
        <f t="shared" si="1"/>
        <v>1.5607879965080915</v>
      </c>
      <c r="Q32" s="34">
        <f t="shared" si="10"/>
        <v>2.4078216199848996</v>
      </c>
      <c r="R32" s="40">
        <v>4462</v>
      </c>
      <c r="S32" s="40">
        <f t="shared" si="2"/>
        <v>95</v>
      </c>
      <c r="T32" s="40">
        <v>5.62658533453941E-3</v>
      </c>
      <c r="U32" s="40">
        <f t="shared" si="5"/>
        <v>21.133780875260818</v>
      </c>
      <c r="V32" s="40">
        <f t="shared" si="12"/>
        <v>78.866219124739189</v>
      </c>
      <c r="W32" s="40">
        <v>54.189181731437998</v>
      </c>
      <c r="X32" s="40">
        <f t="shared" si="6"/>
        <v>1.4317077118903376E-3</v>
      </c>
      <c r="Y32" s="40">
        <f t="shared" si="7"/>
        <v>99.998568292288113</v>
      </c>
      <c r="Z32" s="40">
        <v>3.6710454151034299E-3</v>
      </c>
      <c r="AA32" s="40">
        <f t="shared" si="8"/>
        <v>21.710328232752275</v>
      </c>
      <c r="AB32" s="40">
        <f t="shared" si="9"/>
        <v>78.289671767247725</v>
      </c>
      <c r="AC32" s="40">
        <v>55.667508289108397</v>
      </c>
      <c r="AD32" s="40">
        <v>244.72579756375299</v>
      </c>
      <c r="AE32" s="40" t="s">
        <v>430</v>
      </c>
      <c r="AF32" s="49" t="s">
        <v>31</v>
      </c>
      <c r="AG32" s="49" t="s">
        <v>31</v>
      </c>
    </row>
    <row r="33" spans="1:33" hidden="1" x14ac:dyDescent="0.25">
      <c r="A33" s="32" t="s">
        <v>91</v>
      </c>
      <c r="B33" s="40" t="s">
        <v>454</v>
      </c>
      <c r="C33" s="40">
        <v>4</v>
      </c>
      <c r="D33" s="40">
        <v>9.4210143098531193E-2</v>
      </c>
      <c r="E33" s="40">
        <v>94210.143098531204</v>
      </c>
      <c r="F33" s="40">
        <v>19.644948395119599</v>
      </c>
      <c r="G33" s="40">
        <v>19644948.3951196</v>
      </c>
      <c r="H33" s="40">
        <v>7.91442020729657E-2</v>
      </c>
      <c r="I33" s="40">
        <v>79144.202072965694</v>
      </c>
      <c r="J33" s="40">
        <f t="shared" si="11"/>
        <v>0.17335434517149689</v>
      </c>
      <c r="K33" s="40">
        <f t="shared" si="11"/>
        <v>173354.34517149691</v>
      </c>
      <c r="L33" s="34">
        <f t="shared" si="0"/>
        <v>19.818302740291095</v>
      </c>
      <c r="M33" s="34">
        <f t="shared" si="0"/>
        <v>19818302.740291096</v>
      </c>
      <c r="N33" s="34">
        <f t="shared" si="3"/>
        <v>0.47536938118822697</v>
      </c>
      <c r="O33" s="34">
        <f t="shared" si="4"/>
        <v>99.125281577119807</v>
      </c>
      <c r="P33" s="34">
        <f t="shared" si="1"/>
        <v>0.39934904169196883</v>
      </c>
      <c r="Q33" s="34">
        <f t="shared" si="10"/>
        <v>0.87471842288019586</v>
      </c>
      <c r="R33" s="40">
        <v>1059</v>
      </c>
      <c r="S33" s="40">
        <f t="shared" si="2"/>
        <v>53</v>
      </c>
      <c r="T33" s="40">
        <v>2.7590941172093101E-3</v>
      </c>
      <c r="U33" s="40">
        <f t="shared" si="5"/>
        <v>21.201777282832651</v>
      </c>
      <c r="V33" s="40">
        <f t="shared" si="12"/>
        <v>78.798222717167349</v>
      </c>
      <c r="W33" s="40">
        <v>54.363531494442697</v>
      </c>
      <c r="X33" s="40">
        <f t="shared" si="6"/>
        <v>2.2270891210064291E-3</v>
      </c>
      <c r="Y33" s="40">
        <f t="shared" si="7"/>
        <v>99.997772910878993</v>
      </c>
      <c r="Z33" s="40">
        <v>5.7104849256575099E-3</v>
      </c>
      <c r="AA33" s="40">
        <f t="shared" si="8"/>
        <v>21.272907715159427</v>
      </c>
      <c r="AB33" s="40">
        <f t="shared" si="9"/>
        <v>78.72709228484058</v>
      </c>
      <c r="AC33" s="40">
        <v>54.545917218357502</v>
      </c>
      <c r="AD33" s="40">
        <v>251.21079242675</v>
      </c>
      <c r="AE33" s="40"/>
      <c r="AF33" s="49" t="s">
        <v>31</v>
      </c>
      <c r="AG33" s="49" t="s">
        <v>31</v>
      </c>
    </row>
    <row r="34" spans="1:33" ht="15.75" hidden="1" thickBot="1" x14ac:dyDescent="0.3">
      <c r="A34" s="103" t="s">
        <v>91</v>
      </c>
      <c r="B34" s="145" t="s">
        <v>455</v>
      </c>
      <c r="C34" s="145">
        <v>0</v>
      </c>
      <c r="D34" s="40">
        <v>0</v>
      </c>
      <c r="E34" s="40">
        <v>0</v>
      </c>
      <c r="F34" s="145">
        <v>17.156878571604999</v>
      </c>
      <c r="G34" s="145">
        <v>17156878.571605001</v>
      </c>
      <c r="H34" s="145">
        <v>0</v>
      </c>
      <c r="I34" s="145">
        <v>0</v>
      </c>
      <c r="J34" s="145">
        <f t="shared" si="11"/>
        <v>0</v>
      </c>
      <c r="K34" s="145">
        <f t="shared" si="11"/>
        <v>0</v>
      </c>
      <c r="L34" s="105">
        <f t="shared" ref="L34:M65" si="13">SUM(D34+F34+H34)</f>
        <v>17.156878571604999</v>
      </c>
      <c r="M34" s="105">
        <f t="shared" si="13"/>
        <v>17156878.571605001</v>
      </c>
      <c r="N34" s="61">
        <f t="shared" si="3"/>
        <v>0</v>
      </c>
      <c r="O34" s="61">
        <f t="shared" si="4"/>
        <v>100</v>
      </c>
      <c r="P34" s="61">
        <f t="shared" si="1"/>
        <v>0</v>
      </c>
      <c r="Q34" s="105">
        <f t="shared" si="10"/>
        <v>0</v>
      </c>
      <c r="R34" s="145">
        <v>0</v>
      </c>
      <c r="S34" s="145">
        <f t="shared" si="2"/>
        <v>0</v>
      </c>
      <c r="T34" s="145"/>
      <c r="U34" s="145"/>
      <c r="V34" s="145"/>
      <c r="W34" s="145"/>
      <c r="X34" s="145"/>
      <c r="Y34" s="145"/>
      <c r="Z34" s="145"/>
      <c r="AA34" s="145">
        <f t="shared" si="8"/>
        <v>91.670070177198241</v>
      </c>
      <c r="AB34" s="145">
        <f t="shared" si="9"/>
        <v>8.3299298228017591</v>
      </c>
      <c r="AC34" s="145">
        <v>235.051461992816</v>
      </c>
      <c r="AD34" s="145">
        <v>235.65845914536499</v>
      </c>
      <c r="AE34" s="145"/>
      <c r="AF34" s="114" t="s">
        <v>26</v>
      </c>
      <c r="AG34" s="114" t="s">
        <v>26</v>
      </c>
    </row>
    <row r="35" spans="1:33" ht="15.75" hidden="1" thickTop="1" x14ac:dyDescent="0.25">
      <c r="A35" s="15" t="s">
        <v>69</v>
      </c>
      <c r="B35" s="18" t="s">
        <v>456</v>
      </c>
      <c r="C35" s="18">
        <v>5</v>
      </c>
      <c r="D35" s="18">
        <v>0.60537729556043796</v>
      </c>
      <c r="E35" s="18">
        <v>605377.29556043795</v>
      </c>
      <c r="F35" s="18">
        <v>21.3979320432741</v>
      </c>
      <c r="G35" s="18">
        <v>21397932.043274101</v>
      </c>
      <c r="H35" s="18">
        <v>0.11629383310640801</v>
      </c>
      <c r="I35" s="18">
        <v>116293.833106408</v>
      </c>
      <c r="J35" s="18">
        <f t="shared" si="11"/>
        <v>0.72167112866684602</v>
      </c>
      <c r="K35" s="18">
        <f t="shared" si="11"/>
        <v>721671.12866684597</v>
      </c>
      <c r="L35" s="18">
        <f t="shared" si="13"/>
        <v>22.119603171940945</v>
      </c>
      <c r="M35" s="18">
        <f t="shared" si="13"/>
        <v>22119603.171940949</v>
      </c>
      <c r="N35" s="80">
        <f t="shared" si="3"/>
        <v>2.7368361487079849</v>
      </c>
      <c r="O35" s="80">
        <f t="shared" si="4"/>
        <v>96.737413763451698</v>
      </c>
      <c r="P35" s="80">
        <f t="shared" si="1"/>
        <v>0.52575008784031207</v>
      </c>
      <c r="Q35" s="18">
        <f t="shared" si="10"/>
        <v>3.2625862365482972</v>
      </c>
      <c r="R35" s="18">
        <v>9782</v>
      </c>
      <c r="S35" s="24">
        <f t="shared" si="2"/>
        <v>442</v>
      </c>
      <c r="T35" s="18">
        <v>7.9575693234801206E-3</v>
      </c>
      <c r="U35" s="18">
        <f t="shared" si="5"/>
        <v>31.003095199818027</v>
      </c>
      <c r="V35" s="18">
        <f t="shared" si="12"/>
        <v>68.996904800181966</v>
      </c>
      <c r="W35" s="18">
        <v>79.495115896969295</v>
      </c>
      <c r="X35" s="18">
        <f t="shared" si="6"/>
        <v>58.440808449994229</v>
      </c>
      <c r="Y35" s="18">
        <f t="shared" si="7"/>
        <v>41.559191550005771</v>
      </c>
      <c r="Z35" s="18">
        <v>149.848226794857</v>
      </c>
      <c r="AA35" s="18">
        <f t="shared" si="8"/>
        <v>97.520690008203147</v>
      </c>
      <c r="AB35" s="18">
        <f t="shared" si="9"/>
        <v>2.4793099917968533</v>
      </c>
      <c r="AC35" s="18">
        <v>250.053051303085</v>
      </c>
      <c r="AD35" s="18">
        <v>246.652371813961</v>
      </c>
      <c r="AE35" s="18"/>
      <c r="AF35" s="119" t="s">
        <v>31</v>
      </c>
      <c r="AG35" s="119" t="s">
        <v>31</v>
      </c>
    </row>
    <row r="36" spans="1:33" ht="15.75" hidden="1" thickBot="1" x14ac:dyDescent="0.3">
      <c r="A36" s="58" t="s">
        <v>69</v>
      </c>
      <c r="B36" s="61" t="s">
        <v>457</v>
      </c>
      <c r="C36" s="61">
        <v>4</v>
      </c>
      <c r="D36" s="61">
        <v>3.4385886878276102E-2</v>
      </c>
      <c r="E36" s="61">
        <v>34385.886878276098</v>
      </c>
      <c r="F36" s="61">
        <v>12.2126871583508</v>
      </c>
      <c r="G36" s="61">
        <v>12212687.158350799</v>
      </c>
      <c r="H36" s="61">
        <v>7.7943909854298801E-3</v>
      </c>
      <c r="I36" s="61">
        <v>7794.3909854298699</v>
      </c>
      <c r="J36" s="61">
        <f t="shared" si="11"/>
        <v>4.2180277863705984E-2</v>
      </c>
      <c r="K36" s="61">
        <f t="shared" si="11"/>
        <v>42180.277863705967</v>
      </c>
      <c r="L36" s="61">
        <f t="shared" si="13"/>
        <v>12.254867436214505</v>
      </c>
      <c r="M36" s="61">
        <f t="shared" si="13"/>
        <v>12254867.436214505</v>
      </c>
      <c r="N36" s="105">
        <f t="shared" si="3"/>
        <v>0.28058962740520521</v>
      </c>
      <c r="O36" s="105">
        <f t="shared" si="4"/>
        <v>99.655807962972673</v>
      </c>
      <c r="P36" s="105">
        <f t="shared" si="1"/>
        <v>6.3602409622127556E-2</v>
      </c>
      <c r="Q36" s="61">
        <f t="shared" si="10"/>
        <v>0.34419203702733275</v>
      </c>
      <c r="R36" s="61">
        <v>635</v>
      </c>
      <c r="S36" s="76">
        <f t="shared" si="2"/>
        <v>51</v>
      </c>
      <c r="T36" s="61">
        <v>1.9736727699637399E-2</v>
      </c>
      <c r="U36" s="61">
        <f t="shared" si="5"/>
        <v>32.850267877070515</v>
      </c>
      <c r="V36" s="61">
        <f t="shared" si="12"/>
        <v>67.149732122929493</v>
      </c>
      <c r="W36" s="61">
        <v>84.231456095052593</v>
      </c>
      <c r="X36" s="61">
        <f t="shared" si="6"/>
        <v>55.39609778209806</v>
      </c>
      <c r="Y36" s="61">
        <f t="shared" si="7"/>
        <v>44.60390221790194</v>
      </c>
      <c r="Z36" s="61">
        <v>142.04127636435399</v>
      </c>
      <c r="AA36" s="61">
        <f t="shared" si="8"/>
        <v>99.192075952304407</v>
      </c>
      <c r="AB36" s="61">
        <f t="shared" si="9"/>
        <v>0.80792404769559312</v>
      </c>
      <c r="AC36" s="61">
        <v>254.33865628795999</v>
      </c>
      <c r="AD36" s="61">
        <v>253.909996372737</v>
      </c>
      <c r="AE36" s="61"/>
      <c r="AF36" s="66" t="s">
        <v>31</v>
      </c>
      <c r="AG36" s="66" t="s">
        <v>26</v>
      </c>
    </row>
    <row r="37" spans="1:33" ht="30.75" hidden="1" thickTop="1" x14ac:dyDescent="0.25">
      <c r="A37" s="78" t="s">
        <v>72</v>
      </c>
      <c r="B37" s="134" t="s">
        <v>458</v>
      </c>
      <c r="C37" s="134">
        <v>0</v>
      </c>
      <c r="D37" s="40">
        <v>0</v>
      </c>
      <c r="E37" s="40">
        <v>0</v>
      </c>
      <c r="F37" s="134">
        <v>13.7250780254855</v>
      </c>
      <c r="G37" s="134">
        <v>13725078.025485501</v>
      </c>
      <c r="H37" s="134">
        <v>0</v>
      </c>
      <c r="I37" s="134">
        <v>0</v>
      </c>
      <c r="J37" s="134">
        <f t="shared" si="11"/>
        <v>0</v>
      </c>
      <c r="K37" s="134">
        <f t="shared" si="11"/>
        <v>0</v>
      </c>
      <c r="L37" s="80">
        <f t="shared" si="13"/>
        <v>13.7250780254855</v>
      </c>
      <c r="M37" s="80">
        <f t="shared" si="13"/>
        <v>13725078.025485501</v>
      </c>
      <c r="N37" s="18">
        <f t="shared" si="3"/>
        <v>0</v>
      </c>
      <c r="O37" s="18">
        <f t="shared" si="4"/>
        <v>100</v>
      </c>
      <c r="P37" s="18">
        <f t="shared" si="1"/>
        <v>0</v>
      </c>
      <c r="Q37" s="80">
        <f t="shared" si="10"/>
        <v>0</v>
      </c>
      <c r="R37" s="134">
        <v>0</v>
      </c>
      <c r="S37" s="134">
        <f t="shared" si="2"/>
        <v>0</v>
      </c>
      <c r="T37" s="134"/>
      <c r="U37" s="134"/>
      <c r="V37" s="134"/>
      <c r="W37" s="134"/>
      <c r="X37" s="134"/>
      <c r="Y37" s="134"/>
      <c r="Z37" s="134"/>
      <c r="AA37" s="134">
        <f t="shared" si="8"/>
        <v>92.84223359529183</v>
      </c>
      <c r="AB37" s="134">
        <f t="shared" si="9"/>
        <v>7.1577664047081697</v>
      </c>
      <c r="AC37" s="134">
        <v>238.057009218697</v>
      </c>
      <c r="AD37" s="134">
        <v>237.97315365838301</v>
      </c>
      <c r="AE37" s="134" t="s">
        <v>459</v>
      </c>
      <c r="AF37" s="119" t="s">
        <v>26</v>
      </c>
      <c r="AG37" s="89" t="s">
        <v>31</v>
      </c>
    </row>
    <row r="38" spans="1:33" ht="15.75" hidden="1" thickBot="1" x14ac:dyDescent="0.3">
      <c r="A38" s="103" t="s">
        <v>72</v>
      </c>
      <c r="B38" s="145" t="s">
        <v>460</v>
      </c>
      <c r="C38" s="145">
        <v>0</v>
      </c>
      <c r="D38" s="40">
        <v>0</v>
      </c>
      <c r="E38" s="40">
        <v>0</v>
      </c>
      <c r="F38" s="145">
        <v>32.447537073367201</v>
      </c>
      <c r="G38" s="145">
        <v>32447537.073367201</v>
      </c>
      <c r="H38" s="145">
        <v>0</v>
      </c>
      <c r="I38" s="145">
        <v>0</v>
      </c>
      <c r="J38" s="145">
        <f t="shared" si="11"/>
        <v>0</v>
      </c>
      <c r="K38" s="145">
        <f t="shared" si="11"/>
        <v>0</v>
      </c>
      <c r="L38" s="105">
        <f t="shared" si="13"/>
        <v>32.447537073367201</v>
      </c>
      <c r="M38" s="105">
        <f t="shared" si="13"/>
        <v>32447537.073367201</v>
      </c>
      <c r="N38" s="61">
        <f t="shared" si="3"/>
        <v>0</v>
      </c>
      <c r="O38" s="61">
        <f t="shared" si="4"/>
        <v>100</v>
      </c>
      <c r="P38" s="61">
        <f t="shared" si="1"/>
        <v>0</v>
      </c>
      <c r="Q38" s="105">
        <f t="shared" si="10"/>
        <v>0</v>
      </c>
      <c r="R38" s="145">
        <v>0</v>
      </c>
      <c r="S38" s="145">
        <f t="shared" si="2"/>
        <v>0</v>
      </c>
      <c r="T38" s="145"/>
      <c r="U38" s="145"/>
      <c r="V38" s="145"/>
      <c r="W38" s="145"/>
      <c r="X38" s="145"/>
      <c r="Y38" s="145"/>
      <c r="Z38" s="145"/>
      <c r="AA38" s="145">
        <f t="shared" si="8"/>
        <v>96.861245608168076</v>
      </c>
      <c r="AB38" s="145">
        <f t="shared" si="9"/>
        <v>3.1387543918319238</v>
      </c>
      <c r="AC38" s="145">
        <v>248.36216822607199</v>
      </c>
      <c r="AD38" s="145">
        <v>248.632491723919</v>
      </c>
      <c r="AE38" s="145"/>
      <c r="AF38" s="114" t="s">
        <v>26</v>
      </c>
      <c r="AG38" s="114" t="s">
        <v>31</v>
      </c>
    </row>
    <row r="39" spans="1:33" ht="15.75" hidden="1" thickTop="1" x14ac:dyDescent="0.25">
      <c r="A39" s="15" t="s">
        <v>112</v>
      </c>
      <c r="B39" s="24" t="s">
        <v>461</v>
      </c>
      <c r="C39" s="24">
        <v>3</v>
      </c>
      <c r="D39" s="24">
        <v>1.25134949649457E-2</v>
      </c>
      <c r="E39" s="24">
        <v>12513.494964945699</v>
      </c>
      <c r="F39" s="24">
        <v>18.4636969306443</v>
      </c>
      <c r="G39" s="24">
        <v>18463696.9306443</v>
      </c>
      <c r="H39" s="24">
        <v>8.32082694570907E-3</v>
      </c>
      <c r="I39" s="24">
        <v>8320.8269457090701</v>
      </c>
      <c r="J39" s="24">
        <f t="shared" si="11"/>
        <v>2.083432191065477E-2</v>
      </c>
      <c r="K39" s="24">
        <f t="shared" si="11"/>
        <v>20834.321910654769</v>
      </c>
      <c r="L39" s="18">
        <f t="shared" si="13"/>
        <v>18.484531252554955</v>
      </c>
      <c r="M39" s="18">
        <f t="shared" si="13"/>
        <v>18484531.252554957</v>
      </c>
      <c r="N39" s="80">
        <f t="shared" si="3"/>
        <v>6.769711816855549E-2</v>
      </c>
      <c r="O39" s="80">
        <f t="shared" si="4"/>
        <v>99.887287799587682</v>
      </c>
      <c r="P39" s="80">
        <f t="shared" si="1"/>
        <v>4.5015082243748832E-2</v>
      </c>
      <c r="Q39" s="18">
        <f t="shared" si="10"/>
        <v>0.11271220041230431</v>
      </c>
      <c r="R39" s="24">
        <v>154</v>
      </c>
      <c r="S39" s="24">
        <f t="shared" si="2"/>
        <v>8</v>
      </c>
      <c r="T39" s="24">
        <v>1.19121950119733E-2</v>
      </c>
      <c r="U39" s="24">
        <f t="shared" si="5"/>
        <v>22.692478425957013</v>
      </c>
      <c r="V39" s="24">
        <f t="shared" si="12"/>
        <v>77.307521574042994</v>
      </c>
      <c r="W39" s="24">
        <v>58.185842117838497</v>
      </c>
      <c r="X39" s="24">
        <f t="shared" si="6"/>
        <v>3.8376971427351216E-3</v>
      </c>
      <c r="Y39" s="24">
        <f t="shared" si="7"/>
        <v>99.996162302857272</v>
      </c>
      <c r="Z39" s="24">
        <v>9.8402490839362092E-3</v>
      </c>
      <c r="AA39" s="24">
        <f t="shared" si="8"/>
        <v>23.482628929912465</v>
      </c>
      <c r="AB39" s="24">
        <f t="shared" si="9"/>
        <v>76.517371070087535</v>
      </c>
      <c r="AC39" s="24">
        <v>60.211869051057597</v>
      </c>
      <c r="AD39" s="24">
        <v>253.57733773240301</v>
      </c>
      <c r="AE39" s="24"/>
      <c r="AF39" s="119" t="s">
        <v>31</v>
      </c>
      <c r="AG39" s="119" t="s">
        <v>31</v>
      </c>
    </row>
    <row r="40" spans="1:33" hidden="1" x14ac:dyDescent="0.25">
      <c r="A40" s="32" t="s">
        <v>112</v>
      </c>
      <c r="B40" s="40" t="s">
        <v>462</v>
      </c>
      <c r="C40" s="40">
        <v>0</v>
      </c>
      <c r="D40" s="40">
        <v>0</v>
      </c>
      <c r="E40" s="40">
        <v>0</v>
      </c>
      <c r="F40" s="40">
        <v>15.518425354899801</v>
      </c>
      <c r="G40" s="40">
        <v>15518425.354899799</v>
      </c>
      <c r="H40" s="40">
        <v>0</v>
      </c>
      <c r="I40" s="40">
        <v>0</v>
      </c>
      <c r="J40" s="40">
        <f t="shared" si="11"/>
        <v>0</v>
      </c>
      <c r="K40" s="40">
        <f t="shared" si="11"/>
        <v>0</v>
      </c>
      <c r="L40" s="34">
        <f t="shared" si="13"/>
        <v>15.518425354899801</v>
      </c>
      <c r="M40" s="34">
        <f t="shared" si="13"/>
        <v>15518425.354899799</v>
      </c>
      <c r="N40" s="34">
        <f t="shared" si="3"/>
        <v>0</v>
      </c>
      <c r="O40" s="34">
        <f t="shared" si="4"/>
        <v>100</v>
      </c>
      <c r="P40" s="34">
        <f t="shared" si="1"/>
        <v>0</v>
      </c>
      <c r="Q40" s="34">
        <f t="shared" si="10"/>
        <v>0</v>
      </c>
      <c r="R40" s="40">
        <v>0</v>
      </c>
      <c r="S40" s="40">
        <f t="shared" si="2"/>
        <v>0</v>
      </c>
      <c r="T40" s="40"/>
      <c r="U40" s="40"/>
      <c r="V40" s="40"/>
      <c r="W40" s="40"/>
      <c r="X40" s="40"/>
      <c r="Y40" s="40"/>
      <c r="Z40" s="40"/>
      <c r="AA40" s="40">
        <f t="shared" si="8"/>
        <v>93.007874075708287</v>
      </c>
      <c r="AB40" s="40">
        <f t="shared" si="9"/>
        <v>6.9921259242917131</v>
      </c>
      <c r="AC40" s="40">
        <v>238.48172839925201</v>
      </c>
      <c r="AD40" s="40">
        <v>238.62245120626099</v>
      </c>
      <c r="AE40" s="40"/>
      <c r="AF40" s="49" t="s">
        <v>26</v>
      </c>
      <c r="AG40" s="49" t="s">
        <v>31</v>
      </c>
    </row>
    <row r="41" spans="1:33" hidden="1" x14ac:dyDescent="0.25">
      <c r="A41" s="32" t="s">
        <v>112</v>
      </c>
      <c r="B41" s="40" t="s">
        <v>463</v>
      </c>
      <c r="C41" s="40">
        <v>0</v>
      </c>
      <c r="D41" s="40">
        <v>0</v>
      </c>
      <c r="E41" s="40">
        <v>0</v>
      </c>
      <c r="F41" s="40">
        <v>20.570719625516901</v>
      </c>
      <c r="G41" s="40">
        <v>20570719.625516899</v>
      </c>
      <c r="H41" s="40">
        <v>0</v>
      </c>
      <c r="I41" s="40">
        <v>0</v>
      </c>
      <c r="J41" s="40">
        <f t="shared" si="11"/>
        <v>0</v>
      </c>
      <c r="K41" s="40">
        <f t="shared" si="11"/>
        <v>0</v>
      </c>
      <c r="L41" s="34">
        <f t="shared" si="13"/>
        <v>20.570719625516901</v>
      </c>
      <c r="M41" s="34">
        <f t="shared" si="13"/>
        <v>20570719.625516899</v>
      </c>
      <c r="N41" s="34">
        <f t="shared" si="3"/>
        <v>0</v>
      </c>
      <c r="O41" s="34">
        <f t="shared" si="4"/>
        <v>100</v>
      </c>
      <c r="P41" s="34">
        <f t="shared" si="1"/>
        <v>0</v>
      </c>
      <c r="Q41" s="34">
        <f t="shared" si="10"/>
        <v>0</v>
      </c>
      <c r="R41" s="40">
        <v>0</v>
      </c>
      <c r="S41" s="40">
        <f t="shared" si="2"/>
        <v>0</v>
      </c>
      <c r="T41" s="40"/>
      <c r="U41" s="40"/>
      <c r="V41" s="40"/>
      <c r="W41" s="40"/>
      <c r="X41" s="40"/>
      <c r="Y41" s="40"/>
      <c r="Z41" s="40"/>
      <c r="AA41" s="40">
        <f t="shared" si="8"/>
        <v>94.828927081518628</v>
      </c>
      <c r="AB41" s="40">
        <f t="shared" si="9"/>
        <v>5.1710729184813715</v>
      </c>
      <c r="AC41" s="40">
        <v>243.15109508081699</v>
      </c>
      <c r="AD41" s="40">
        <v>243.13780437456199</v>
      </c>
      <c r="AE41" s="40"/>
      <c r="AF41" s="49" t="s">
        <v>26</v>
      </c>
      <c r="AG41" s="49" t="s">
        <v>31</v>
      </c>
    </row>
    <row r="42" spans="1:33" ht="15.75" hidden="1" thickBot="1" x14ac:dyDescent="0.3">
      <c r="A42" s="58" t="s">
        <v>112</v>
      </c>
      <c r="B42" s="76" t="s">
        <v>464</v>
      </c>
      <c r="C42" s="76">
        <v>0</v>
      </c>
      <c r="D42" s="76">
        <v>0</v>
      </c>
      <c r="E42" s="76">
        <v>0</v>
      </c>
      <c r="F42" s="76">
        <v>26.4779574172622</v>
      </c>
      <c r="G42" s="76">
        <v>26477957.4172622</v>
      </c>
      <c r="H42" s="76">
        <v>0</v>
      </c>
      <c r="I42" s="76">
        <v>0</v>
      </c>
      <c r="J42" s="76">
        <f t="shared" si="11"/>
        <v>0</v>
      </c>
      <c r="K42" s="76">
        <f t="shared" si="11"/>
        <v>0</v>
      </c>
      <c r="L42" s="61">
        <f t="shared" si="13"/>
        <v>26.4779574172622</v>
      </c>
      <c r="M42" s="61">
        <f t="shared" si="13"/>
        <v>26477957.4172622</v>
      </c>
      <c r="N42" s="105">
        <f t="shared" si="3"/>
        <v>0</v>
      </c>
      <c r="O42" s="105">
        <f t="shared" si="4"/>
        <v>100</v>
      </c>
      <c r="P42" s="105">
        <f t="shared" si="1"/>
        <v>0</v>
      </c>
      <c r="Q42" s="61">
        <f t="shared" si="10"/>
        <v>0</v>
      </c>
      <c r="R42" s="76">
        <v>0</v>
      </c>
      <c r="S42" s="76">
        <f t="shared" si="2"/>
        <v>0</v>
      </c>
      <c r="T42" s="76"/>
      <c r="U42" s="76"/>
      <c r="V42" s="76"/>
      <c r="W42" s="76"/>
      <c r="X42" s="76"/>
      <c r="Y42" s="76"/>
      <c r="Z42" s="76"/>
      <c r="AA42" s="76">
        <f t="shared" si="8"/>
        <v>94.486494045683614</v>
      </c>
      <c r="AB42" s="76">
        <f t="shared" si="9"/>
        <v>5.5135059543163862</v>
      </c>
      <c r="AC42" s="76">
        <v>242.27306165559901</v>
      </c>
      <c r="AD42" s="76">
        <v>243.09830931412</v>
      </c>
      <c r="AE42" s="76"/>
      <c r="AF42" s="66" t="s">
        <v>26</v>
      </c>
      <c r="AG42" s="66" t="s">
        <v>26</v>
      </c>
    </row>
    <row r="43" spans="1:33" ht="15.75" hidden="1" thickTop="1" x14ac:dyDescent="0.25">
      <c r="A43" s="78" t="s">
        <v>42</v>
      </c>
      <c r="B43" s="80" t="s">
        <v>465</v>
      </c>
      <c r="C43" s="80">
        <v>3</v>
      </c>
      <c r="D43" s="80">
        <v>3.0452735082636701E-2</v>
      </c>
      <c r="E43" s="80">
        <v>30452.7350826367</v>
      </c>
      <c r="F43" s="80">
        <v>57.636830209589199</v>
      </c>
      <c r="G43" s="80">
        <v>57636830.209589198</v>
      </c>
      <c r="H43" s="80">
        <v>2.97543448002879E-2</v>
      </c>
      <c r="I43" s="80">
        <v>29754.344800287901</v>
      </c>
      <c r="J43" s="80">
        <f t="shared" si="11"/>
        <v>6.0207079882924605E-2</v>
      </c>
      <c r="K43" s="80">
        <f t="shared" si="11"/>
        <v>60207.079882924605</v>
      </c>
      <c r="L43" s="80">
        <f t="shared" si="13"/>
        <v>57.697037289472121</v>
      </c>
      <c r="M43" s="80">
        <f t="shared" si="13"/>
        <v>57697037.289472118</v>
      </c>
      <c r="N43" s="18">
        <f t="shared" si="3"/>
        <v>5.2780413888241985E-2</v>
      </c>
      <c r="O43" s="18">
        <f t="shared" si="4"/>
        <v>99.895649616147779</v>
      </c>
      <c r="P43" s="18">
        <f t="shared" si="1"/>
        <v>5.156996996398136E-2</v>
      </c>
      <c r="Q43" s="80">
        <f t="shared" si="10"/>
        <v>0.10435038385222334</v>
      </c>
      <c r="R43" s="80">
        <v>362</v>
      </c>
      <c r="S43" s="134">
        <f t="shared" si="2"/>
        <v>6</v>
      </c>
      <c r="T43" s="80">
        <v>8.9496374130249006E-3</v>
      </c>
      <c r="U43" s="80">
        <f t="shared" si="5"/>
        <v>22.317766136369109</v>
      </c>
      <c r="V43" s="80">
        <f t="shared" si="12"/>
        <v>77.682233863630898</v>
      </c>
      <c r="W43" s="80">
        <v>57.225041375305402</v>
      </c>
      <c r="X43" s="80">
        <f t="shared" si="6"/>
        <v>33.357250639262475</v>
      </c>
      <c r="Y43" s="80">
        <f t="shared" si="7"/>
        <v>66.642749360737525</v>
      </c>
      <c r="Z43" s="80">
        <v>85.531411895544807</v>
      </c>
      <c r="AA43" s="80">
        <f t="shared" si="8"/>
        <v>99.337118478306934</v>
      </c>
      <c r="AB43" s="80">
        <f t="shared" si="9"/>
        <v>0.66288152169306613</v>
      </c>
      <c r="AC43" s="80">
        <v>254.710560200787</v>
      </c>
      <c r="AD43" s="80">
        <v>254.51998772523899</v>
      </c>
      <c r="AE43" s="80"/>
      <c r="AF43" s="89" t="s">
        <v>31</v>
      </c>
      <c r="AG43" s="89" t="s">
        <v>31</v>
      </c>
    </row>
    <row r="44" spans="1:33" ht="15.75" hidden="1" thickBot="1" x14ac:dyDescent="0.3">
      <c r="A44" s="103" t="s">
        <v>42</v>
      </c>
      <c r="B44" s="105" t="s">
        <v>466</v>
      </c>
      <c r="C44" s="105">
        <v>3</v>
      </c>
      <c r="D44" s="105">
        <v>0.18440126832873299</v>
      </c>
      <c r="E44" s="105">
        <v>184401.26832873299</v>
      </c>
      <c r="F44" s="105">
        <v>40.400866711058399</v>
      </c>
      <c r="G44" s="105">
        <v>40400866.711058401</v>
      </c>
      <c r="H44" s="105">
        <v>0.23548422590412901</v>
      </c>
      <c r="I44" s="105">
        <v>235484.22590412901</v>
      </c>
      <c r="J44" s="105">
        <f t="shared" si="11"/>
        <v>0.41988549423286203</v>
      </c>
      <c r="K44" s="105">
        <f t="shared" si="11"/>
        <v>419885.49423286202</v>
      </c>
      <c r="L44" s="105">
        <f t="shared" si="13"/>
        <v>40.820752205291264</v>
      </c>
      <c r="M44" s="105">
        <f t="shared" si="13"/>
        <v>40820752.205291264</v>
      </c>
      <c r="N44" s="61">
        <f t="shared" si="3"/>
        <v>0.45173412631242632</v>
      </c>
      <c r="O44" s="61">
        <f t="shared" si="4"/>
        <v>98.971392070089209</v>
      </c>
      <c r="P44" s="61">
        <f t="shared" si="1"/>
        <v>0.57687380359836948</v>
      </c>
      <c r="Q44" s="105">
        <f t="shared" si="10"/>
        <v>1.0286079299107957</v>
      </c>
      <c r="R44" s="105">
        <v>1917</v>
      </c>
      <c r="S44" s="145">
        <f t="shared" si="2"/>
        <v>46</v>
      </c>
      <c r="T44" s="105">
        <v>4.3225614354014301E-3</v>
      </c>
      <c r="U44" s="105">
        <f t="shared" si="5"/>
        <v>22.447711670301917</v>
      </c>
      <c r="V44" s="105">
        <f t="shared" si="12"/>
        <v>77.552288329698086</v>
      </c>
      <c r="W44" s="105">
        <v>57.558235052056197</v>
      </c>
      <c r="X44" s="105">
        <f t="shared" si="6"/>
        <v>30.282412049246641</v>
      </c>
      <c r="Y44" s="105">
        <f t="shared" si="7"/>
        <v>69.717587950753355</v>
      </c>
      <c r="Z44" s="105">
        <v>77.647210382683696</v>
      </c>
      <c r="AA44" s="105">
        <f t="shared" si="8"/>
        <v>98.429706698825584</v>
      </c>
      <c r="AB44" s="105">
        <f t="shared" si="9"/>
        <v>1.5702933011744165</v>
      </c>
      <c r="AC44" s="105">
        <v>252.38386333032199</v>
      </c>
      <c r="AD44" s="105">
        <v>250.47668234208001</v>
      </c>
      <c r="AE44" s="105"/>
      <c r="AF44" s="114" t="s">
        <v>31</v>
      </c>
      <c r="AG44" s="114" t="s">
        <v>31</v>
      </c>
    </row>
    <row r="45" spans="1:33" ht="15.75" hidden="1" thickTop="1" x14ac:dyDescent="0.25">
      <c r="A45" s="15" t="s">
        <v>176</v>
      </c>
      <c r="B45" s="24" t="s">
        <v>467</v>
      </c>
      <c r="C45" s="24">
        <v>0</v>
      </c>
      <c r="D45" s="24">
        <v>0</v>
      </c>
      <c r="E45" s="24">
        <v>0</v>
      </c>
      <c r="F45" s="24">
        <v>16.840538667042502</v>
      </c>
      <c r="G45" s="24">
        <v>16840538.667042501</v>
      </c>
      <c r="H45" s="24">
        <v>0</v>
      </c>
      <c r="I45" s="24">
        <v>0</v>
      </c>
      <c r="J45" s="24">
        <f t="shared" si="11"/>
        <v>0</v>
      </c>
      <c r="K45" s="24">
        <f t="shared" si="11"/>
        <v>0</v>
      </c>
      <c r="L45" s="18">
        <f t="shared" si="13"/>
        <v>16.840538667042502</v>
      </c>
      <c r="M45" s="18">
        <f t="shared" si="13"/>
        <v>16840538.667042501</v>
      </c>
      <c r="N45" s="80">
        <f t="shared" si="3"/>
        <v>0</v>
      </c>
      <c r="O45" s="80">
        <f t="shared" si="4"/>
        <v>100</v>
      </c>
      <c r="P45" s="80">
        <f t="shared" si="1"/>
        <v>0</v>
      </c>
      <c r="Q45" s="18">
        <f t="shared" si="10"/>
        <v>0</v>
      </c>
      <c r="R45" s="24">
        <v>0</v>
      </c>
      <c r="S45" s="24">
        <f t="shared" si="2"/>
        <v>0</v>
      </c>
      <c r="T45" s="24"/>
      <c r="U45" s="24"/>
      <c r="V45" s="24"/>
      <c r="W45" s="24"/>
      <c r="X45" s="24"/>
      <c r="Y45" s="24"/>
      <c r="Z45" s="24"/>
      <c r="AA45" s="24">
        <f t="shared" si="8"/>
        <v>91.798246122351983</v>
      </c>
      <c r="AB45" s="24">
        <f t="shared" si="9"/>
        <v>8.2017538776480166</v>
      </c>
      <c r="AC45" s="24">
        <v>235.38011826244099</v>
      </c>
      <c r="AD45" s="24">
        <v>235.85291315837901</v>
      </c>
      <c r="AE45" s="24"/>
      <c r="AF45" s="119" t="s">
        <v>26</v>
      </c>
      <c r="AG45" s="119" t="s">
        <v>31</v>
      </c>
    </row>
    <row r="46" spans="1:33" hidden="1" x14ac:dyDescent="0.25">
      <c r="A46" s="32" t="s">
        <v>176</v>
      </c>
      <c r="B46" s="40" t="s">
        <v>468</v>
      </c>
      <c r="C46" s="40">
        <v>5</v>
      </c>
      <c r="D46" s="40">
        <v>1.1283520538683001</v>
      </c>
      <c r="E46" s="40">
        <v>1128352.0538683</v>
      </c>
      <c r="F46" s="40">
        <v>25.325583006925498</v>
      </c>
      <c r="G46" s="40">
        <v>25325583.006925501</v>
      </c>
      <c r="H46" s="40">
        <v>3.4483361994999102</v>
      </c>
      <c r="I46" s="40">
        <v>3448336.1994999102</v>
      </c>
      <c r="J46" s="40">
        <f t="shared" si="11"/>
        <v>4.5766882533682107</v>
      </c>
      <c r="K46" s="40">
        <f t="shared" si="11"/>
        <v>4576688.25336821</v>
      </c>
      <c r="L46" s="34">
        <f t="shared" si="13"/>
        <v>29.902271260293709</v>
      </c>
      <c r="M46" s="34">
        <f t="shared" si="13"/>
        <v>29902271.260293711</v>
      </c>
      <c r="N46" s="34">
        <f t="shared" si="3"/>
        <v>3.7734660489372374</v>
      </c>
      <c r="O46" s="34">
        <f t="shared" si="4"/>
        <v>84.694512956795194</v>
      </c>
      <c r="P46" s="34">
        <f t="shared" si="1"/>
        <v>11.532020994267574</v>
      </c>
      <c r="Q46" s="34">
        <f t="shared" si="10"/>
        <v>15.305487043204812</v>
      </c>
      <c r="R46" s="40">
        <v>13127</v>
      </c>
      <c r="S46" s="40">
        <f t="shared" si="2"/>
        <v>438</v>
      </c>
      <c r="T46" s="40">
        <v>2.7367940638214302E-3</v>
      </c>
      <c r="U46" s="40">
        <f t="shared" si="5"/>
        <v>19.250879975929369</v>
      </c>
      <c r="V46" s="40">
        <f t="shared" si="12"/>
        <v>80.749120024070635</v>
      </c>
      <c r="W46" s="40">
        <v>49.361230707511197</v>
      </c>
      <c r="X46" s="40">
        <f t="shared" si="6"/>
        <v>1.9071252364665267E-3</v>
      </c>
      <c r="Y46" s="40">
        <f t="shared" si="7"/>
        <v>99.998092874763529</v>
      </c>
      <c r="Z46" s="40">
        <v>4.8900647088885299E-3</v>
      </c>
      <c r="AA46" s="40">
        <f t="shared" si="8"/>
        <v>22.288047737312485</v>
      </c>
      <c r="AB46" s="40">
        <f t="shared" si="9"/>
        <v>77.711952262687518</v>
      </c>
      <c r="AC46" s="40">
        <v>57.148840352083297</v>
      </c>
      <c r="AD46" s="40">
        <v>200.24180170150001</v>
      </c>
      <c r="AE46" s="40" t="s">
        <v>430</v>
      </c>
      <c r="AF46" s="49" t="s">
        <v>31</v>
      </c>
      <c r="AG46" s="49" t="s">
        <v>31</v>
      </c>
    </row>
    <row r="47" spans="1:33" hidden="1" x14ac:dyDescent="0.25">
      <c r="A47" s="32" t="s">
        <v>176</v>
      </c>
      <c r="B47" s="40" t="s">
        <v>469</v>
      </c>
      <c r="C47" s="40">
        <v>0</v>
      </c>
      <c r="D47" s="40">
        <v>0</v>
      </c>
      <c r="E47" s="40">
        <v>0</v>
      </c>
      <c r="F47" s="40">
        <v>16.416720117392099</v>
      </c>
      <c r="G47" s="40">
        <v>16416720.1173921</v>
      </c>
      <c r="H47" s="40">
        <v>0</v>
      </c>
      <c r="I47" s="40">
        <v>0</v>
      </c>
      <c r="J47" s="40">
        <f t="shared" si="11"/>
        <v>0</v>
      </c>
      <c r="K47" s="40">
        <f t="shared" si="11"/>
        <v>0</v>
      </c>
      <c r="L47" s="34">
        <f t="shared" si="13"/>
        <v>16.416720117392099</v>
      </c>
      <c r="M47" s="34">
        <f t="shared" si="13"/>
        <v>16416720.1173921</v>
      </c>
      <c r="N47" s="34">
        <f t="shared" si="3"/>
        <v>0</v>
      </c>
      <c r="O47" s="34">
        <f t="shared" si="4"/>
        <v>100</v>
      </c>
      <c r="P47" s="34">
        <f t="shared" si="1"/>
        <v>0</v>
      </c>
      <c r="Q47" s="34">
        <f t="shared" si="10"/>
        <v>0</v>
      </c>
      <c r="R47" s="40">
        <v>0</v>
      </c>
      <c r="S47" s="40">
        <f t="shared" si="2"/>
        <v>0</v>
      </c>
      <c r="T47" s="40"/>
      <c r="U47" s="40"/>
      <c r="V47" s="40"/>
      <c r="W47" s="40"/>
      <c r="X47" s="40"/>
      <c r="Y47" s="40"/>
      <c r="Z47" s="40"/>
      <c r="AA47" s="40">
        <f t="shared" si="8"/>
        <v>92.126820622274877</v>
      </c>
      <c r="AB47" s="40">
        <f t="shared" si="9"/>
        <v>7.8731793777251227</v>
      </c>
      <c r="AC47" s="40">
        <v>236.22261698019199</v>
      </c>
      <c r="AD47" s="40">
        <v>236.34838783227701</v>
      </c>
      <c r="AE47" s="40"/>
      <c r="AF47" s="49" t="s">
        <v>26</v>
      </c>
      <c r="AG47" s="49" t="s">
        <v>31</v>
      </c>
    </row>
    <row r="48" spans="1:33" hidden="1" x14ac:dyDescent="0.25">
      <c r="A48" s="32" t="s">
        <v>176</v>
      </c>
      <c r="B48" s="40" t="s">
        <v>470</v>
      </c>
      <c r="C48" s="40">
        <v>0</v>
      </c>
      <c r="D48" s="40">
        <v>0</v>
      </c>
      <c r="E48" s="40">
        <v>0</v>
      </c>
      <c r="F48" s="40">
        <v>15.305351142855899</v>
      </c>
      <c r="G48" s="40">
        <v>15305351.142855899</v>
      </c>
      <c r="H48" s="40">
        <v>0</v>
      </c>
      <c r="I48" s="40">
        <v>0</v>
      </c>
      <c r="J48" s="40">
        <f t="shared" si="11"/>
        <v>0</v>
      </c>
      <c r="K48" s="40">
        <f t="shared" si="11"/>
        <v>0</v>
      </c>
      <c r="L48" s="34">
        <f t="shared" si="13"/>
        <v>15.305351142855899</v>
      </c>
      <c r="M48" s="34">
        <f t="shared" si="13"/>
        <v>15305351.142855899</v>
      </c>
      <c r="N48" s="34">
        <f t="shared" si="3"/>
        <v>0</v>
      </c>
      <c r="O48" s="34">
        <f t="shared" si="4"/>
        <v>100</v>
      </c>
      <c r="P48" s="34">
        <f t="shared" si="1"/>
        <v>0</v>
      </c>
      <c r="Q48" s="34">
        <f t="shared" si="10"/>
        <v>0</v>
      </c>
      <c r="R48" s="40">
        <v>0</v>
      </c>
      <c r="S48" s="40">
        <f t="shared" si="2"/>
        <v>0</v>
      </c>
      <c r="T48" s="40"/>
      <c r="U48" s="40"/>
      <c r="V48" s="40"/>
      <c r="W48" s="40"/>
      <c r="X48" s="40"/>
      <c r="Y48" s="40"/>
      <c r="Z48" s="40"/>
      <c r="AA48" s="40">
        <f t="shared" si="8"/>
        <v>91.540518721760165</v>
      </c>
      <c r="AB48" s="40">
        <f t="shared" si="9"/>
        <v>8.459481278239835</v>
      </c>
      <c r="AC48" s="40">
        <v>234.71927877374401</v>
      </c>
      <c r="AD48" s="40">
        <v>234.789184955042</v>
      </c>
      <c r="AE48" s="40"/>
      <c r="AF48" s="49" t="s">
        <v>26</v>
      </c>
      <c r="AG48" s="49" t="s">
        <v>26</v>
      </c>
    </row>
    <row r="49" spans="1:33" hidden="1" x14ac:dyDescent="0.25">
      <c r="A49" s="32" t="s">
        <v>176</v>
      </c>
      <c r="B49" s="34" t="s">
        <v>471</v>
      </c>
      <c r="C49" s="34">
        <v>2</v>
      </c>
      <c r="D49" s="34">
        <v>7.1954084782637005E-4</v>
      </c>
      <c r="E49" s="34">
        <v>719.54084782637005</v>
      </c>
      <c r="F49" s="34">
        <v>18.9091980335564</v>
      </c>
      <c r="G49" s="34">
        <v>18909198.033556402</v>
      </c>
      <c r="H49" s="34">
        <v>7.2546299472205902E-4</v>
      </c>
      <c r="I49" s="34">
        <v>725.46299472205897</v>
      </c>
      <c r="J49" s="34">
        <f t="shared" si="11"/>
        <v>1.4450038425484291E-3</v>
      </c>
      <c r="K49" s="34">
        <f t="shared" si="11"/>
        <v>1445.003842548429</v>
      </c>
      <c r="L49" s="34">
        <f t="shared" si="13"/>
        <v>18.910643037398948</v>
      </c>
      <c r="M49" s="34">
        <f t="shared" si="13"/>
        <v>18910643.037398949</v>
      </c>
      <c r="N49" s="34">
        <f t="shared" si="3"/>
        <v>3.8049517745290741E-3</v>
      </c>
      <c r="O49" s="34">
        <f t="shared" si="4"/>
        <v>99.992358779975433</v>
      </c>
      <c r="P49" s="34">
        <f t="shared" si="1"/>
        <v>3.8362682500395935E-3</v>
      </c>
      <c r="Q49" s="34">
        <f t="shared" si="10"/>
        <v>7.6412200245686672E-3</v>
      </c>
      <c r="R49" s="34">
        <v>17</v>
      </c>
      <c r="S49" s="40">
        <f t="shared" si="2"/>
        <v>0</v>
      </c>
      <c r="T49" s="34">
        <v>0.117464959621429</v>
      </c>
      <c r="U49" s="34">
        <f t="shared" si="5"/>
        <v>27.432410469756512</v>
      </c>
      <c r="V49" s="34">
        <f t="shared" si="12"/>
        <v>72.567589530243481</v>
      </c>
      <c r="W49" s="34">
        <v>70.339514025016697</v>
      </c>
      <c r="X49" s="34">
        <f t="shared" si="6"/>
        <v>40.701048712124191</v>
      </c>
      <c r="Y49" s="34">
        <f t="shared" si="7"/>
        <v>59.298951287875809</v>
      </c>
      <c r="Z49" s="34">
        <v>104.36166336442101</v>
      </c>
      <c r="AA49" s="34">
        <f t="shared" si="8"/>
        <v>99.398560610969497</v>
      </c>
      <c r="AB49" s="34">
        <f t="shared" si="9"/>
        <v>0.60143938903050298</v>
      </c>
      <c r="AC49" s="34">
        <v>254.86810413069099</v>
      </c>
      <c r="AD49" s="34">
        <v>254.85308623097501</v>
      </c>
      <c r="AE49" s="34"/>
      <c r="AF49" s="49" t="s">
        <v>31</v>
      </c>
      <c r="AG49" s="49" t="s">
        <v>26</v>
      </c>
    </row>
    <row r="50" spans="1:33" hidden="1" x14ac:dyDescent="0.25">
      <c r="A50" s="32" t="s">
        <v>176</v>
      </c>
      <c r="B50" s="40" t="s">
        <v>472</v>
      </c>
      <c r="C50" s="40">
        <v>0</v>
      </c>
      <c r="D50" s="40">
        <v>0</v>
      </c>
      <c r="E50" s="40">
        <v>0</v>
      </c>
      <c r="F50" s="40">
        <v>25.204491817172201</v>
      </c>
      <c r="G50" s="40">
        <v>25204491.817172199</v>
      </c>
      <c r="H50" s="40">
        <v>0</v>
      </c>
      <c r="I50" s="40">
        <v>0</v>
      </c>
      <c r="J50" s="40">
        <f t="shared" si="11"/>
        <v>0</v>
      </c>
      <c r="K50" s="40">
        <f t="shared" si="11"/>
        <v>0</v>
      </c>
      <c r="L50" s="34">
        <f t="shared" si="13"/>
        <v>25.204491817172201</v>
      </c>
      <c r="M50" s="34">
        <f t="shared" si="13"/>
        <v>25204491.817172199</v>
      </c>
      <c r="N50" s="34">
        <f t="shared" si="3"/>
        <v>0</v>
      </c>
      <c r="O50" s="34">
        <f t="shared" si="4"/>
        <v>100</v>
      </c>
      <c r="P50" s="34">
        <f t="shared" si="1"/>
        <v>0</v>
      </c>
      <c r="Q50" s="34">
        <f t="shared" si="10"/>
        <v>0</v>
      </c>
      <c r="R50" s="40">
        <v>0</v>
      </c>
      <c r="S50" s="40">
        <f t="shared" si="2"/>
        <v>0</v>
      </c>
      <c r="T50" s="40"/>
      <c r="U50" s="40"/>
      <c r="V50" s="40"/>
      <c r="W50" s="40"/>
      <c r="X50" s="40"/>
      <c r="Y50" s="40"/>
      <c r="Z50" s="40"/>
      <c r="AA50" s="40">
        <f t="shared" si="8"/>
        <v>93.732515165253517</v>
      </c>
      <c r="AB50" s="40">
        <f t="shared" si="9"/>
        <v>6.2674848347464831</v>
      </c>
      <c r="AC50" s="40">
        <v>240.339782475009</v>
      </c>
      <c r="AD50" s="40">
        <v>241.07103854953999</v>
      </c>
      <c r="AE50" s="40"/>
      <c r="AF50" s="49" t="s">
        <v>26</v>
      </c>
      <c r="AG50" s="49" t="s">
        <v>31</v>
      </c>
    </row>
    <row r="51" spans="1:33" hidden="1" x14ac:dyDescent="0.25">
      <c r="A51" s="32" t="s">
        <v>176</v>
      </c>
      <c r="B51" s="40" t="s">
        <v>473</v>
      </c>
      <c r="C51" s="40">
        <v>0</v>
      </c>
      <c r="D51" s="40">
        <v>0</v>
      </c>
      <c r="E51" s="40">
        <v>0</v>
      </c>
      <c r="F51" s="40">
        <v>34.091820008375002</v>
      </c>
      <c r="G51" s="40">
        <v>34091820.008374996</v>
      </c>
      <c r="H51" s="40">
        <v>0</v>
      </c>
      <c r="I51" s="40">
        <v>0</v>
      </c>
      <c r="J51" s="40">
        <f t="shared" si="11"/>
        <v>0</v>
      </c>
      <c r="K51" s="40">
        <f t="shared" si="11"/>
        <v>0</v>
      </c>
      <c r="L51" s="34">
        <f t="shared" si="13"/>
        <v>34.091820008375002</v>
      </c>
      <c r="M51" s="34">
        <f t="shared" si="13"/>
        <v>34091820.008374996</v>
      </c>
      <c r="N51" s="34">
        <f t="shared" si="3"/>
        <v>0</v>
      </c>
      <c r="O51" s="34">
        <f t="shared" si="4"/>
        <v>100</v>
      </c>
      <c r="P51" s="34">
        <f t="shared" si="1"/>
        <v>0</v>
      </c>
      <c r="Q51" s="34">
        <f t="shared" si="10"/>
        <v>0</v>
      </c>
      <c r="R51" s="40">
        <v>0</v>
      </c>
      <c r="S51" s="40">
        <f t="shared" si="2"/>
        <v>0</v>
      </c>
      <c r="T51" s="40"/>
      <c r="U51" s="40"/>
      <c r="V51" s="40"/>
      <c r="W51" s="40"/>
      <c r="X51" s="40"/>
      <c r="Y51" s="40"/>
      <c r="Z51" s="40"/>
      <c r="AA51" s="40">
        <f t="shared" si="8"/>
        <v>93.547605516132307</v>
      </c>
      <c r="AB51" s="40">
        <f t="shared" si="9"/>
        <v>6.4523944838676925</v>
      </c>
      <c r="AC51" s="40">
        <v>239.86565516957</v>
      </c>
      <c r="AD51" s="40">
        <v>239.96336612887501</v>
      </c>
      <c r="AE51" s="40"/>
      <c r="AF51" s="49" t="s">
        <v>26</v>
      </c>
      <c r="AG51" s="49" t="s">
        <v>26</v>
      </c>
    </row>
    <row r="52" spans="1:33" ht="15.75" hidden="1" thickBot="1" x14ac:dyDescent="0.3">
      <c r="A52" s="58" t="s">
        <v>176</v>
      </c>
      <c r="B52" s="76" t="s">
        <v>474</v>
      </c>
      <c r="C52" s="76">
        <v>0</v>
      </c>
      <c r="D52" s="76">
        <v>0</v>
      </c>
      <c r="E52" s="76">
        <v>0</v>
      </c>
      <c r="F52" s="76">
        <v>19.0533313193312</v>
      </c>
      <c r="G52" s="76">
        <v>19053331.319331199</v>
      </c>
      <c r="H52" s="76">
        <v>0</v>
      </c>
      <c r="I52" s="76">
        <v>0</v>
      </c>
      <c r="J52" s="76">
        <f t="shared" si="11"/>
        <v>0</v>
      </c>
      <c r="K52" s="76">
        <f t="shared" si="11"/>
        <v>0</v>
      </c>
      <c r="L52" s="61">
        <f t="shared" si="13"/>
        <v>19.0533313193312</v>
      </c>
      <c r="M52" s="61">
        <f t="shared" si="13"/>
        <v>19053331.319331199</v>
      </c>
      <c r="N52" s="105">
        <f t="shared" si="3"/>
        <v>0</v>
      </c>
      <c r="O52" s="105">
        <f t="shared" si="4"/>
        <v>100</v>
      </c>
      <c r="P52" s="105">
        <f t="shared" si="1"/>
        <v>0</v>
      </c>
      <c r="Q52" s="61">
        <f t="shared" si="10"/>
        <v>0</v>
      </c>
      <c r="R52" s="76">
        <v>0</v>
      </c>
      <c r="S52" s="76">
        <f t="shared" si="2"/>
        <v>0</v>
      </c>
      <c r="T52" s="76"/>
      <c r="U52" s="76"/>
      <c r="V52" s="76"/>
      <c r="W52" s="76"/>
      <c r="X52" s="76"/>
      <c r="Y52" s="76"/>
      <c r="Z52" s="76"/>
      <c r="AA52" s="76">
        <f t="shared" si="8"/>
        <v>91.610607966239314</v>
      </c>
      <c r="AB52" s="76">
        <f t="shared" si="9"/>
        <v>8.3893920337606858</v>
      </c>
      <c r="AC52" s="76">
        <v>234.89899478522901</v>
      </c>
      <c r="AD52" s="76">
        <v>235.13584232640099</v>
      </c>
      <c r="AE52" s="76"/>
      <c r="AF52" s="66" t="s">
        <v>26</v>
      </c>
      <c r="AG52" s="66" t="s">
        <v>31</v>
      </c>
    </row>
    <row r="53" spans="1:33" ht="15.75" hidden="1" thickTop="1" x14ac:dyDescent="0.25">
      <c r="A53" s="78" t="s">
        <v>475</v>
      </c>
      <c r="B53" s="134" t="s">
        <v>476</v>
      </c>
      <c r="C53" s="134">
        <v>0</v>
      </c>
      <c r="D53" s="134">
        <v>0</v>
      </c>
      <c r="E53" s="134">
        <v>0</v>
      </c>
      <c r="F53" s="134">
        <v>51.920436046347703</v>
      </c>
      <c r="G53" s="134">
        <v>51920436.0463477</v>
      </c>
      <c r="H53" s="134">
        <v>0</v>
      </c>
      <c r="I53" s="134">
        <v>0</v>
      </c>
      <c r="J53" s="134">
        <f t="shared" si="11"/>
        <v>0</v>
      </c>
      <c r="K53" s="134">
        <f t="shared" si="11"/>
        <v>0</v>
      </c>
      <c r="L53" s="80">
        <f t="shared" si="13"/>
        <v>51.920436046347703</v>
      </c>
      <c r="M53" s="80">
        <f t="shared" si="13"/>
        <v>51920436.0463477</v>
      </c>
      <c r="N53" s="18">
        <f t="shared" si="3"/>
        <v>0</v>
      </c>
      <c r="O53" s="18">
        <f t="shared" si="4"/>
        <v>100</v>
      </c>
      <c r="P53" s="18">
        <f t="shared" si="1"/>
        <v>0</v>
      </c>
      <c r="Q53" s="80">
        <f t="shared" si="10"/>
        <v>0</v>
      </c>
      <c r="R53" s="134">
        <v>0</v>
      </c>
      <c r="S53" s="134">
        <f t="shared" si="2"/>
        <v>0</v>
      </c>
      <c r="T53" s="134"/>
      <c r="U53" s="134"/>
      <c r="V53" s="134"/>
      <c r="W53" s="134"/>
      <c r="X53" s="134"/>
      <c r="Y53" s="134"/>
      <c r="Z53" s="134"/>
      <c r="AA53" s="134">
        <f t="shared" si="8"/>
        <v>92.904166688795286</v>
      </c>
      <c r="AB53" s="134">
        <f t="shared" si="9"/>
        <v>7.0958333112047143</v>
      </c>
      <c r="AC53" s="134">
        <v>238.215812022552</v>
      </c>
      <c r="AD53" s="134">
        <v>238.52252030531</v>
      </c>
      <c r="AE53" s="134"/>
      <c r="AF53" s="89" t="s">
        <v>26</v>
      </c>
      <c r="AG53" s="89" t="s">
        <v>26</v>
      </c>
    </row>
    <row r="54" spans="1:33" hidden="1" x14ac:dyDescent="0.25">
      <c r="A54" s="32" t="s">
        <v>475</v>
      </c>
      <c r="B54" s="40" t="s">
        <v>477</v>
      </c>
      <c r="C54" s="40">
        <v>0</v>
      </c>
      <c r="D54" s="40">
        <v>0</v>
      </c>
      <c r="E54" s="40">
        <v>0</v>
      </c>
      <c r="F54" s="40">
        <v>56.536290367523101</v>
      </c>
      <c r="G54" s="40">
        <v>56536290.367523097</v>
      </c>
      <c r="H54" s="40">
        <v>0</v>
      </c>
      <c r="I54" s="40">
        <v>0</v>
      </c>
      <c r="J54" s="40">
        <f t="shared" si="11"/>
        <v>0</v>
      </c>
      <c r="K54" s="40">
        <f t="shared" si="11"/>
        <v>0</v>
      </c>
      <c r="L54" s="34">
        <f t="shared" si="13"/>
        <v>56.536290367523101</v>
      </c>
      <c r="M54" s="34">
        <f t="shared" si="13"/>
        <v>56536290.367523097</v>
      </c>
      <c r="N54" s="34">
        <f t="shared" si="3"/>
        <v>0</v>
      </c>
      <c r="O54" s="34">
        <f t="shared" si="4"/>
        <v>100</v>
      </c>
      <c r="P54" s="34">
        <f t="shared" si="1"/>
        <v>0</v>
      </c>
      <c r="Q54" s="34">
        <f t="shared" si="10"/>
        <v>0</v>
      </c>
      <c r="R54" s="40">
        <v>0</v>
      </c>
      <c r="S54" s="40">
        <f t="shared" si="2"/>
        <v>0</v>
      </c>
      <c r="T54" s="40"/>
      <c r="U54" s="40"/>
      <c r="V54" s="40"/>
      <c r="W54" s="40"/>
      <c r="X54" s="40"/>
      <c r="Y54" s="40"/>
      <c r="Z54" s="40"/>
      <c r="AA54" s="40">
        <f t="shared" si="8"/>
        <v>93.194217831900517</v>
      </c>
      <c r="AB54" s="40">
        <f t="shared" si="9"/>
        <v>6.8057821680994834</v>
      </c>
      <c r="AC54" s="40">
        <v>238.95953290230901</v>
      </c>
      <c r="AD54" s="40">
        <v>239.194781463179</v>
      </c>
      <c r="AE54" s="40"/>
      <c r="AF54" s="49" t="s">
        <v>26</v>
      </c>
      <c r="AG54" s="49" t="s">
        <v>31</v>
      </c>
    </row>
    <row r="55" spans="1:33" ht="15.75" hidden="1" thickBot="1" x14ac:dyDescent="0.3">
      <c r="A55" s="103" t="s">
        <v>475</v>
      </c>
      <c r="B55" s="145" t="s">
        <v>478</v>
      </c>
      <c r="C55" s="145">
        <v>0</v>
      </c>
      <c r="D55" s="145">
        <v>0</v>
      </c>
      <c r="E55" s="145">
        <v>0</v>
      </c>
      <c r="F55" s="145">
        <v>56.812410228525899</v>
      </c>
      <c r="G55" s="145">
        <v>56812410.228525899</v>
      </c>
      <c r="H55" s="145">
        <v>0</v>
      </c>
      <c r="I55" s="145">
        <v>0</v>
      </c>
      <c r="J55" s="145">
        <f t="shared" si="11"/>
        <v>0</v>
      </c>
      <c r="K55" s="145">
        <f t="shared" si="11"/>
        <v>0</v>
      </c>
      <c r="L55" s="105">
        <f t="shared" si="13"/>
        <v>56.812410228525899</v>
      </c>
      <c r="M55" s="105">
        <f t="shared" si="13"/>
        <v>56812410.228525899</v>
      </c>
      <c r="N55" s="61">
        <f t="shared" si="3"/>
        <v>0</v>
      </c>
      <c r="O55" s="61">
        <f t="shared" si="4"/>
        <v>100</v>
      </c>
      <c r="P55" s="61">
        <f t="shared" si="1"/>
        <v>0</v>
      </c>
      <c r="Q55" s="105">
        <f t="shared" si="10"/>
        <v>0</v>
      </c>
      <c r="R55" s="145">
        <v>0</v>
      </c>
      <c r="S55" s="145">
        <f t="shared" si="2"/>
        <v>0</v>
      </c>
      <c r="T55" s="145"/>
      <c r="U55" s="145"/>
      <c r="V55" s="145"/>
      <c r="W55" s="145"/>
      <c r="X55" s="145"/>
      <c r="Y55" s="145"/>
      <c r="Z55" s="145"/>
      <c r="AA55" s="145">
        <f t="shared" si="8"/>
        <v>93.006639021806649</v>
      </c>
      <c r="AB55" s="145">
        <f t="shared" si="9"/>
        <v>6.9933609781933512</v>
      </c>
      <c r="AC55" s="145">
        <v>238.478561594376</v>
      </c>
      <c r="AD55" s="145">
        <v>238.605067259571</v>
      </c>
      <c r="AE55" s="145" t="s">
        <v>443</v>
      </c>
      <c r="AF55" s="114" t="s">
        <v>26</v>
      </c>
      <c r="AG55" s="114" t="s">
        <v>31</v>
      </c>
    </row>
    <row r="56" spans="1:33" ht="16.5" hidden="1" thickTop="1" thickBot="1" x14ac:dyDescent="0.3">
      <c r="A56" s="188" t="s">
        <v>479</v>
      </c>
      <c r="B56" s="196" t="s">
        <v>480</v>
      </c>
      <c r="C56" s="196">
        <v>4</v>
      </c>
      <c r="D56" s="196">
        <v>9.0731312432222294E-2</v>
      </c>
      <c r="E56" s="196">
        <v>90731.312432222301</v>
      </c>
      <c r="F56" s="196">
        <v>65.285219151091397</v>
      </c>
      <c r="G56" s="196">
        <v>65285219.151091397</v>
      </c>
      <c r="H56" s="196">
        <v>0.23188759251313101</v>
      </c>
      <c r="I56" s="196">
        <v>231887.59251313101</v>
      </c>
      <c r="J56" s="196">
        <f t="shared" si="11"/>
        <v>0.32261890494535328</v>
      </c>
      <c r="K56" s="196">
        <f t="shared" si="11"/>
        <v>322618.90494535328</v>
      </c>
      <c r="L56" s="196">
        <f t="shared" si="13"/>
        <v>65.607838056036755</v>
      </c>
      <c r="M56" s="196">
        <f t="shared" si="13"/>
        <v>65607838.056036748</v>
      </c>
      <c r="N56" s="215">
        <f t="shared" si="3"/>
        <v>0.13829340383800967</v>
      </c>
      <c r="O56" s="215">
        <f t="shared" si="4"/>
        <v>99.50826164296133</v>
      </c>
      <c r="P56" s="215">
        <f t="shared" si="1"/>
        <v>0.35344495320067087</v>
      </c>
      <c r="Q56" s="196">
        <f t="shared" si="10"/>
        <v>0.49173835703868052</v>
      </c>
      <c r="R56" s="196">
        <v>1203</v>
      </c>
      <c r="S56" s="272">
        <f t="shared" si="2"/>
        <v>18</v>
      </c>
      <c r="T56" s="196">
        <v>6.0105882585048597E-3</v>
      </c>
      <c r="U56" s="196">
        <f t="shared" si="5"/>
        <v>23.772018130501017</v>
      </c>
      <c r="V56" s="196">
        <f t="shared" si="12"/>
        <v>76.22798186949899</v>
      </c>
      <c r="W56" s="196">
        <v>60.953892642310301</v>
      </c>
      <c r="X56" s="196">
        <f t="shared" si="6"/>
        <v>31.467259445775234</v>
      </c>
      <c r="Y56" s="196">
        <f t="shared" si="7"/>
        <v>68.532740554224773</v>
      </c>
      <c r="Z56" s="196">
        <v>80.685280630192906</v>
      </c>
      <c r="AA56" s="196">
        <f t="shared" si="8"/>
        <v>98.479735109511992</v>
      </c>
      <c r="AB56" s="196">
        <f t="shared" si="9"/>
        <v>1.5202648904880078</v>
      </c>
      <c r="AC56" s="196">
        <v>252.51214130644101</v>
      </c>
      <c r="AD56" s="196">
        <v>251.61226276050601</v>
      </c>
      <c r="AE56" s="196"/>
      <c r="AF56" s="191" t="s">
        <v>31</v>
      </c>
      <c r="AG56" s="191" t="s">
        <v>26</v>
      </c>
    </row>
    <row r="57" spans="1:33" ht="15.75" hidden="1" thickTop="1" x14ac:dyDescent="0.25">
      <c r="A57" s="78" t="s">
        <v>311</v>
      </c>
      <c r="B57" s="80" t="s">
        <v>310</v>
      </c>
      <c r="C57" s="80">
        <v>5</v>
      </c>
      <c r="D57" s="80">
        <v>0.68091190803615798</v>
      </c>
      <c r="E57" s="80">
        <v>680911.90803615795</v>
      </c>
      <c r="F57" s="80">
        <v>21.1429177247898</v>
      </c>
      <c r="G57" s="80">
        <v>21142917.724789798</v>
      </c>
      <c r="H57" s="80">
        <v>0.68430508647978305</v>
      </c>
      <c r="I57" s="80">
        <v>684305.08647978306</v>
      </c>
      <c r="J57" s="80">
        <f t="shared" si="11"/>
        <v>1.3652169945159409</v>
      </c>
      <c r="K57" s="80">
        <f t="shared" si="11"/>
        <v>1365216.994515941</v>
      </c>
      <c r="L57" s="80">
        <f t="shared" si="13"/>
        <v>22.50813471930574</v>
      </c>
      <c r="M57" s="80">
        <f t="shared" si="13"/>
        <v>22508134.719305739</v>
      </c>
      <c r="N57" s="18">
        <f t="shared" si="3"/>
        <v>3.0251814134208304</v>
      </c>
      <c r="O57" s="18">
        <f t="shared" si="4"/>
        <v>93.934561830461391</v>
      </c>
      <c r="P57" s="18">
        <f t="shared" si="1"/>
        <v>3.040256756117774</v>
      </c>
      <c r="Q57" s="80">
        <f t="shared" si="10"/>
        <v>6.0654381695386039</v>
      </c>
      <c r="R57" s="80">
        <v>8214</v>
      </c>
      <c r="S57" s="134">
        <f t="shared" si="2"/>
        <v>364</v>
      </c>
      <c r="T57" s="80">
        <v>4.1958624497055999E-3</v>
      </c>
      <c r="U57" s="80">
        <f t="shared" si="5"/>
        <v>23.132531580943006</v>
      </c>
      <c r="V57" s="80">
        <f t="shared" si="12"/>
        <v>76.867468419056991</v>
      </c>
      <c r="W57" s="80">
        <v>59.314183540879498</v>
      </c>
      <c r="X57" s="80">
        <f t="shared" si="6"/>
        <v>34.606549715869015</v>
      </c>
      <c r="Y57" s="80">
        <f t="shared" si="7"/>
        <v>65.393450284130978</v>
      </c>
      <c r="Z57" s="80">
        <v>88.734742861202605</v>
      </c>
      <c r="AA57" s="80">
        <f t="shared" si="8"/>
        <v>92.954155551400262</v>
      </c>
      <c r="AB57" s="80">
        <f t="shared" si="9"/>
        <v>7.0458444485997376</v>
      </c>
      <c r="AC57" s="80">
        <v>238.34398859333399</v>
      </c>
      <c r="AD57" s="80">
        <v>229.15573597594999</v>
      </c>
      <c r="AE57" s="80" t="s">
        <v>443</v>
      </c>
      <c r="AF57" s="89" t="s">
        <v>31</v>
      </c>
      <c r="AG57" s="89" t="s">
        <v>31</v>
      </c>
    </row>
    <row r="58" spans="1:33" hidden="1" x14ac:dyDescent="0.25">
      <c r="A58" s="32" t="s">
        <v>311</v>
      </c>
      <c r="B58" s="34" t="s">
        <v>313</v>
      </c>
      <c r="C58" s="34">
        <v>5</v>
      </c>
      <c r="D58" s="34">
        <v>0.45452621719596198</v>
      </c>
      <c r="E58" s="34">
        <v>454526.21719596197</v>
      </c>
      <c r="F58" s="34">
        <v>20.630913118341599</v>
      </c>
      <c r="G58" s="34">
        <v>20630913.118341599</v>
      </c>
      <c r="H58" s="34">
        <v>0.23279259554672599</v>
      </c>
      <c r="I58" s="34">
        <v>232792.59554672599</v>
      </c>
      <c r="J58" s="34">
        <f t="shared" si="11"/>
        <v>0.68731881274268791</v>
      </c>
      <c r="K58" s="34">
        <f t="shared" si="11"/>
        <v>687318.81274268799</v>
      </c>
      <c r="L58" s="34">
        <f t="shared" si="13"/>
        <v>21.318231931084288</v>
      </c>
      <c r="M58" s="34">
        <f t="shared" si="13"/>
        <v>21318231.931084286</v>
      </c>
      <c r="N58" s="34">
        <f t="shared" si="3"/>
        <v>2.1321009109259834</v>
      </c>
      <c r="O58" s="34">
        <f t="shared" si="4"/>
        <v>96.775910802712957</v>
      </c>
      <c r="P58" s="34">
        <f t="shared" si="1"/>
        <v>1.091988286361071</v>
      </c>
      <c r="Q58" s="34">
        <f t="shared" si="10"/>
        <v>3.2240891972870545</v>
      </c>
      <c r="R58" s="34">
        <v>5859</v>
      </c>
      <c r="S58" s="40">
        <f t="shared" si="2"/>
        <v>274</v>
      </c>
      <c r="T58" s="34">
        <v>3.0871322378516102E-3</v>
      </c>
      <c r="U58" s="34">
        <f t="shared" si="5"/>
        <v>22.666370504696101</v>
      </c>
      <c r="V58" s="34">
        <f t="shared" si="12"/>
        <v>77.333629495303896</v>
      </c>
      <c r="W58" s="34">
        <v>58.118898729990001</v>
      </c>
      <c r="X58" s="34">
        <f t="shared" si="6"/>
        <v>35.510566541218665</v>
      </c>
      <c r="Y58" s="34">
        <f t="shared" si="7"/>
        <v>64.489433458781335</v>
      </c>
      <c r="Z58" s="34">
        <v>91.052734721073506</v>
      </c>
      <c r="AA58" s="34">
        <f t="shared" si="8"/>
        <v>96.165912785174712</v>
      </c>
      <c r="AB58" s="34">
        <f t="shared" si="9"/>
        <v>3.8340872148252885</v>
      </c>
      <c r="AC58" s="34">
        <v>246.57926355173001</v>
      </c>
      <c r="AD58" s="34">
        <v>241.585120527915</v>
      </c>
      <c r="AE58" s="34"/>
      <c r="AF58" s="49" t="s">
        <v>31</v>
      </c>
      <c r="AG58" s="49" t="s">
        <v>31</v>
      </c>
    </row>
    <row r="59" spans="1:33" hidden="1" x14ac:dyDescent="0.25">
      <c r="A59" s="32" t="s">
        <v>311</v>
      </c>
      <c r="B59" s="34" t="s">
        <v>314</v>
      </c>
      <c r="C59" s="34">
        <v>4</v>
      </c>
      <c r="D59" s="34">
        <v>0.33446800260041398</v>
      </c>
      <c r="E59" s="34">
        <v>334468.00260041398</v>
      </c>
      <c r="F59" s="34">
        <v>19.846638002513199</v>
      </c>
      <c r="G59" s="34">
        <v>19846638.0025132</v>
      </c>
      <c r="H59" s="34">
        <v>0.12721234991181701</v>
      </c>
      <c r="I59" s="34">
        <v>127212.349911817</v>
      </c>
      <c r="J59" s="34">
        <f t="shared" si="11"/>
        <v>0.461680352512231</v>
      </c>
      <c r="K59" s="34">
        <f t="shared" si="11"/>
        <v>461680.35251223098</v>
      </c>
      <c r="L59" s="34">
        <f t="shared" si="13"/>
        <v>20.308318355025431</v>
      </c>
      <c r="M59" s="34">
        <f t="shared" si="13"/>
        <v>20308318.355025429</v>
      </c>
      <c r="N59" s="34">
        <f t="shared" si="3"/>
        <v>1.6469507556131433</v>
      </c>
      <c r="O59" s="34">
        <f t="shared" si="4"/>
        <v>97.726644104936526</v>
      </c>
      <c r="P59" s="34">
        <f t="shared" si="1"/>
        <v>0.62640513945034482</v>
      </c>
      <c r="Q59" s="34">
        <f t="shared" si="10"/>
        <v>2.2733558950634882</v>
      </c>
      <c r="R59" s="34">
        <v>4172</v>
      </c>
      <c r="S59" s="40">
        <f t="shared" si="2"/>
        <v>205</v>
      </c>
      <c r="T59" s="34">
        <v>3.4491592086851501E-3</v>
      </c>
      <c r="U59" s="34">
        <f t="shared" si="5"/>
        <v>23.486551697102676</v>
      </c>
      <c r="V59" s="34">
        <f t="shared" si="12"/>
        <v>76.513448302897331</v>
      </c>
      <c r="W59" s="34">
        <v>60.221927428468398</v>
      </c>
      <c r="X59" s="34">
        <f t="shared" si="6"/>
        <v>43.152107801972917</v>
      </c>
      <c r="Y59" s="34">
        <f t="shared" si="7"/>
        <v>56.847892198027083</v>
      </c>
      <c r="Z59" s="34">
        <v>110.64643026146901</v>
      </c>
      <c r="AA59" s="34">
        <f t="shared" si="8"/>
        <v>97.985883212082456</v>
      </c>
      <c r="AB59" s="34">
        <f t="shared" si="9"/>
        <v>2.0141167879175441</v>
      </c>
      <c r="AC59" s="34">
        <v>251.24585438995501</v>
      </c>
      <c r="AD59" s="34">
        <v>247.93537406938901</v>
      </c>
      <c r="AE59" s="34"/>
      <c r="AF59" s="49" t="s">
        <v>31</v>
      </c>
      <c r="AG59" s="49" t="s">
        <v>31</v>
      </c>
    </row>
    <row r="60" spans="1:33" hidden="1" x14ac:dyDescent="0.25">
      <c r="A60" s="32" t="s">
        <v>311</v>
      </c>
      <c r="B60" s="34" t="s">
        <v>315</v>
      </c>
      <c r="C60" s="34">
        <v>4</v>
      </c>
      <c r="D60" s="34">
        <v>0.58717809590675896</v>
      </c>
      <c r="E60" s="34">
        <v>587178.09590675903</v>
      </c>
      <c r="F60" s="34">
        <v>25.4375115752139</v>
      </c>
      <c r="G60" s="34">
        <v>25437511.575213902</v>
      </c>
      <c r="H60" s="34">
        <v>0.30473759487197399</v>
      </c>
      <c r="I60" s="34">
        <v>304737.59487197403</v>
      </c>
      <c r="J60" s="34">
        <f t="shared" si="11"/>
        <v>0.89191569077873289</v>
      </c>
      <c r="K60" s="34">
        <f t="shared" si="11"/>
        <v>891915.690778733</v>
      </c>
      <c r="L60" s="34">
        <f t="shared" si="13"/>
        <v>26.329427265992631</v>
      </c>
      <c r="M60" s="34">
        <f t="shared" si="13"/>
        <v>26329427.265992638</v>
      </c>
      <c r="N60" s="34">
        <f t="shared" si="3"/>
        <v>2.2301210352006566</v>
      </c>
      <c r="O60" s="34">
        <f t="shared" si="4"/>
        <v>96.612475912338809</v>
      </c>
      <c r="P60" s="34">
        <f t="shared" si="1"/>
        <v>1.1574030524605305</v>
      </c>
      <c r="Q60" s="34">
        <f t="shared" si="10"/>
        <v>3.3875240876611872</v>
      </c>
      <c r="R60" s="34">
        <v>7013</v>
      </c>
      <c r="S60" s="40">
        <f t="shared" si="2"/>
        <v>266</v>
      </c>
      <c r="T60" s="34">
        <v>4.2798388749361004E-3</v>
      </c>
      <c r="U60" s="34">
        <f t="shared" si="5"/>
        <v>23.016696082948815</v>
      </c>
      <c r="V60" s="34">
        <f t="shared" si="12"/>
        <v>76.983303917051188</v>
      </c>
      <c r="W60" s="34">
        <v>59.017169443458499</v>
      </c>
      <c r="X60" s="34">
        <f t="shared" si="6"/>
        <v>37.430395647649057</v>
      </c>
      <c r="Y60" s="34">
        <f t="shared" si="7"/>
        <v>62.569604352350943</v>
      </c>
      <c r="Z60" s="34">
        <v>95.975373455510393</v>
      </c>
      <c r="AA60" s="34">
        <f t="shared" si="8"/>
        <v>96.484023655560847</v>
      </c>
      <c r="AB60" s="34">
        <f t="shared" si="9"/>
        <v>3.515976344439153</v>
      </c>
      <c r="AC60" s="34">
        <v>247.39493245015601</v>
      </c>
      <c r="AD60" s="34">
        <v>242.49526939395801</v>
      </c>
      <c r="AE60" s="34"/>
      <c r="AF60" s="49" t="s">
        <v>31</v>
      </c>
      <c r="AG60" s="49" t="s">
        <v>31</v>
      </c>
    </row>
    <row r="61" spans="1:33" hidden="1" x14ac:dyDescent="0.25">
      <c r="A61" s="32" t="s">
        <v>311</v>
      </c>
      <c r="B61" s="34" t="s">
        <v>316</v>
      </c>
      <c r="C61" s="34">
        <v>4</v>
      </c>
      <c r="D61" s="34">
        <v>0.18176758218177599</v>
      </c>
      <c r="E61" s="34">
        <v>181767.582181776</v>
      </c>
      <c r="F61" s="34">
        <v>15.577525363052599</v>
      </c>
      <c r="G61" s="34">
        <v>15577525.363052599</v>
      </c>
      <c r="H61" s="34">
        <v>0.121943966499476</v>
      </c>
      <c r="I61" s="34">
        <v>121943.966499476</v>
      </c>
      <c r="J61" s="34">
        <f t="shared" si="11"/>
        <v>0.303711548681252</v>
      </c>
      <c r="K61" s="34">
        <f t="shared" si="11"/>
        <v>303711.548681252</v>
      </c>
      <c r="L61" s="34">
        <f t="shared" si="13"/>
        <v>15.881236911733851</v>
      </c>
      <c r="M61" s="34">
        <f t="shared" si="13"/>
        <v>15881236.911733851</v>
      </c>
      <c r="N61" s="34">
        <f t="shared" si="3"/>
        <v>1.1445429798196451</v>
      </c>
      <c r="O61" s="34">
        <f t="shared" si="4"/>
        <v>98.08760771991976</v>
      </c>
      <c r="P61" s="34">
        <f t="shared" si="1"/>
        <v>0.76784930026059683</v>
      </c>
      <c r="Q61" s="34">
        <f t="shared" si="10"/>
        <v>1.912392280080242</v>
      </c>
      <c r="R61" s="34">
        <v>2253</v>
      </c>
      <c r="S61" s="40">
        <f t="shared" si="2"/>
        <v>141</v>
      </c>
      <c r="T61" s="34">
        <v>6.8883774802088703E-3</v>
      </c>
      <c r="U61" s="34">
        <f t="shared" si="5"/>
        <v>22.356544712031777</v>
      </c>
      <c r="V61" s="34">
        <f t="shared" si="12"/>
        <v>77.643455287968223</v>
      </c>
      <c r="W61" s="34">
        <v>57.324473620594297</v>
      </c>
      <c r="X61" s="34">
        <f t="shared" si="6"/>
        <v>30.908355347692094</v>
      </c>
      <c r="Y61" s="34">
        <f t="shared" si="7"/>
        <v>69.091644652307906</v>
      </c>
      <c r="Z61" s="34">
        <v>79.252193199210495</v>
      </c>
      <c r="AA61" s="34">
        <f t="shared" si="8"/>
        <v>97.605025159850143</v>
      </c>
      <c r="AB61" s="34">
        <f t="shared" si="9"/>
        <v>2.3949748401498567</v>
      </c>
      <c r="AC61" s="34">
        <v>250.26929528166701</v>
      </c>
      <c r="AD61" s="34">
        <v>247.13012768184601</v>
      </c>
      <c r="AE61" s="34"/>
      <c r="AF61" s="49" t="s">
        <v>31</v>
      </c>
      <c r="AG61" s="49" t="s">
        <v>31</v>
      </c>
    </row>
    <row r="62" spans="1:33" hidden="1" x14ac:dyDescent="0.25">
      <c r="A62" s="32" t="s">
        <v>311</v>
      </c>
      <c r="B62" s="34" t="s">
        <v>317</v>
      </c>
      <c r="C62" s="34">
        <v>5</v>
      </c>
      <c r="D62" s="34">
        <v>0.33073201023725102</v>
      </c>
      <c r="E62" s="34">
        <v>330732.010237251</v>
      </c>
      <c r="F62" s="34">
        <v>11.175778588425599</v>
      </c>
      <c r="G62" s="34">
        <v>11175778.588425601</v>
      </c>
      <c r="H62" s="34">
        <v>0.207728389307481</v>
      </c>
      <c r="I62" s="34">
        <v>207728.389307481</v>
      </c>
      <c r="J62" s="34">
        <f t="shared" si="11"/>
        <v>0.53846039954473202</v>
      </c>
      <c r="K62" s="34">
        <f t="shared" si="11"/>
        <v>538460.39954473195</v>
      </c>
      <c r="L62" s="34">
        <f t="shared" si="13"/>
        <v>11.714238987970331</v>
      </c>
      <c r="M62" s="34">
        <f t="shared" si="13"/>
        <v>11714238.987970332</v>
      </c>
      <c r="N62" s="34">
        <f t="shared" si="3"/>
        <v>2.8233333004123327</v>
      </c>
      <c r="O62" s="34">
        <f t="shared" si="4"/>
        <v>95.40336849796482</v>
      </c>
      <c r="P62" s="34">
        <f t="shared" si="1"/>
        <v>1.7732982016228531</v>
      </c>
      <c r="Q62" s="34">
        <f t="shared" si="10"/>
        <v>4.5966315020351853</v>
      </c>
      <c r="R62" s="34">
        <v>4716</v>
      </c>
      <c r="S62" s="40">
        <f t="shared" si="2"/>
        <v>402</v>
      </c>
      <c r="T62" s="34">
        <v>5.40291238576173E-3</v>
      </c>
      <c r="U62" s="34">
        <f t="shared" si="5"/>
        <v>23.481367719179449</v>
      </c>
      <c r="V62" s="34">
        <f t="shared" si="12"/>
        <v>76.518632280820555</v>
      </c>
      <c r="W62" s="34">
        <v>60.208635177383201</v>
      </c>
      <c r="X62" s="34">
        <f t="shared" si="6"/>
        <v>41.968691213046</v>
      </c>
      <c r="Y62" s="34">
        <f t="shared" si="7"/>
        <v>58.031308786954</v>
      </c>
      <c r="Z62" s="34">
        <v>107.6120287514</v>
      </c>
      <c r="AA62" s="34">
        <f t="shared" si="8"/>
        <v>94.80263416688922</v>
      </c>
      <c r="AB62" s="34">
        <f t="shared" si="9"/>
        <v>5.1973658331107799</v>
      </c>
      <c r="AC62" s="34">
        <v>243.08367735099799</v>
      </c>
      <c r="AD62" s="34">
        <v>236.29069509860301</v>
      </c>
      <c r="AE62" s="34"/>
      <c r="AF62" s="49" t="s">
        <v>31</v>
      </c>
      <c r="AG62" s="49" t="s">
        <v>31</v>
      </c>
    </row>
    <row r="63" spans="1:33" ht="15.75" hidden="1" thickBot="1" x14ac:dyDescent="0.3">
      <c r="A63" s="103" t="s">
        <v>311</v>
      </c>
      <c r="B63" s="105" t="s">
        <v>318</v>
      </c>
      <c r="C63" s="105">
        <v>4</v>
      </c>
      <c r="D63" s="105">
        <v>0.19000212824953699</v>
      </c>
      <c r="E63" s="105">
        <v>190002.128249537</v>
      </c>
      <c r="F63" s="105">
        <v>21.319406806083101</v>
      </c>
      <c r="G63" s="105">
        <v>21319406.806083102</v>
      </c>
      <c r="H63" s="105">
        <v>0.132314499635421</v>
      </c>
      <c r="I63" s="105">
        <v>132314.499635421</v>
      </c>
      <c r="J63" s="105">
        <f t="shared" si="11"/>
        <v>0.32231662788495796</v>
      </c>
      <c r="K63" s="105">
        <f t="shared" si="11"/>
        <v>322316.627884958</v>
      </c>
      <c r="L63" s="105">
        <f t="shared" si="13"/>
        <v>21.64172343396806</v>
      </c>
      <c r="M63" s="105">
        <f t="shared" si="13"/>
        <v>21641723.43396806</v>
      </c>
      <c r="N63" s="61">
        <f t="shared" si="3"/>
        <v>0.87794361123438336</v>
      </c>
      <c r="O63" s="61">
        <f t="shared" si="4"/>
        <v>98.510670239048238</v>
      </c>
      <c r="P63" s="61">
        <f t="shared" si="1"/>
        <v>0.6113861497173787</v>
      </c>
      <c r="Q63" s="105">
        <f t="shared" si="10"/>
        <v>1.4893297609517622</v>
      </c>
      <c r="R63" s="105">
        <v>2419</v>
      </c>
      <c r="S63" s="145">
        <f t="shared" si="2"/>
        <v>111</v>
      </c>
      <c r="T63" s="105">
        <v>5.2371453493833499E-3</v>
      </c>
      <c r="U63" s="105">
        <f t="shared" si="5"/>
        <v>22.785138669755437</v>
      </c>
      <c r="V63" s="105">
        <f t="shared" si="12"/>
        <v>77.21486133024456</v>
      </c>
      <c r="W63" s="105">
        <v>58.4234324865524</v>
      </c>
      <c r="X63" s="105">
        <f t="shared" si="6"/>
        <v>31.922216524884195</v>
      </c>
      <c r="Y63" s="105">
        <f t="shared" si="7"/>
        <v>68.077783475115808</v>
      </c>
      <c r="Z63" s="105">
        <v>81.851837243292806</v>
      </c>
      <c r="AA63" s="105">
        <f t="shared" si="8"/>
        <v>97.869103562964625</v>
      </c>
      <c r="AB63" s="105">
        <f t="shared" si="9"/>
        <v>2.1308964370353749</v>
      </c>
      <c r="AC63" s="105">
        <v>250.946419392217</v>
      </c>
      <c r="AD63" s="105">
        <v>248.418652486497</v>
      </c>
      <c r="AE63" s="105"/>
      <c r="AF63" s="114" t="s">
        <v>31</v>
      </c>
      <c r="AG63" s="114" t="s">
        <v>31</v>
      </c>
    </row>
    <row r="64" spans="1:33" ht="15.75" hidden="1" thickTop="1" x14ac:dyDescent="0.25">
      <c r="A64" s="15" t="s">
        <v>320</v>
      </c>
      <c r="B64" s="18" t="s">
        <v>481</v>
      </c>
      <c r="C64" s="18">
        <v>4</v>
      </c>
      <c r="D64" s="18">
        <v>3.5188975678133803E-2</v>
      </c>
      <c r="E64" s="18">
        <v>35188.9756781338</v>
      </c>
      <c r="F64" s="18">
        <v>10.7191228188998</v>
      </c>
      <c r="G64" s="18">
        <v>10719122.818899799</v>
      </c>
      <c r="H64" s="18">
        <v>3.7753265417646502E-2</v>
      </c>
      <c r="I64" s="18">
        <v>37753.2654176465</v>
      </c>
      <c r="J64" s="18">
        <f t="shared" si="11"/>
        <v>7.2942241095780305E-2</v>
      </c>
      <c r="K64" s="18">
        <f t="shared" si="11"/>
        <v>72942.241095780308</v>
      </c>
      <c r="L64" s="18">
        <f t="shared" si="13"/>
        <v>10.792065059995581</v>
      </c>
      <c r="M64" s="18">
        <f t="shared" si="13"/>
        <v>10792065.05999558</v>
      </c>
      <c r="N64" s="80">
        <f t="shared" si="3"/>
        <v>0.32606341309573433</v>
      </c>
      <c r="O64" s="80">
        <f t="shared" si="4"/>
        <v>99.324112292779205</v>
      </c>
      <c r="P64" s="80">
        <f t="shared" si="1"/>
        <v>0.3498242941250575</v>
      </c>
      <c r="Q64" s="18">
        <f t="shared" si="10"/>
        <v>0.67588770722079183</v>
      </c>
      <c r="R64" s="18">
        <v>460</v>
      </c>
      <c r="S64" s="24">
        <f t="shared" si="2"/>
        <v>42</v>
      </c>
      <c r="T64" s="18">
        <v>6.2293852679431404E-3</v>
      </c>
      <c r="U64" s="18">
        <f t="shared" si="5"/>
        <v>22.190204168727856</v>
      </c>
      <c r="V64" s="18">
        <f t="shared" si="12"/>
        <v>77.80979583127214</v>
      </c>
      <c r="W64" s="18">
        <v>56.897959406994502</v>
      </c>
      <c r="X64" s="18">
        <f t="shared" si="6"/>
        <v>28.724832881709862</v>
      </c>
      <c r="Y64" s="18">
        <f t="shared" si="7"/>
        <v>71.275167118290142</v>
      </c>
      <c r="Z64" s="18">
        <v>73.653417645409903</v>
      </c>
      <c r="AA64" s="18">
        <f t="shared" si="8"/>
        <v>98.503604603650359</v>
      </c>
      <c r="AB64" s="18">
        <f t="shared" si="9"/>
        <v>1.4963953963496408</v>
      </c>
      <c r="AC64" s="18">
        <v>252.57334513756501</v>
      </c>
      <c r="AD64" s="18">
        <v>251.324646106323</v>
      </c>
      <c r="AE64" s="18"/>
      <c r="AF64" s="119" t="s">
        <v>31</v>
      </c>
      <c r="AG64" s="119" t="s">
        <v>31</v>
      </c>
    </row>
    <row r="65" spans="1:33" hidden="1" x14ac:dyDescent="0.25">
      <c r="A65" s="32" t="s">
        <v>320</v>
      </c>
      <c r="B65" s="34" t="s">
        <v>319</v>
      </c>
      <c r="C65" s="34">
        <v>4</v>
      </c>
      <c r="D65" s="34">
        <v>0.38640522648422998</v>
      </c>
      <c r="E65" s="34">
        <v>386405.22648423002</v>
      </c>
      <c r="F65" s="34">
        <v>24.5683999234063</v>
      </c>
      <c r="G65" s="34">
        <v>24568399.923406299</v>
      </c>
      <c r="H65" s="34">
        <v>0.20675692508725499</v>
      </c>
      <c r="I65" s="34">
        <v>206756.92508725499</v>
      </c>
      <c r="J65" s="34">
        <f t="shared" si="11"/>
        <v>0.593162151571485</v>
      </c>
      <c r="K65" s="34">
        <f t="shared" si="11"/>
        <v>593162.15157148498</v>
      </c>
      <c r="L65" s="34">
        <f t="shared" si="13"/>
        <v>25.161562074977784</v>
      </c>
      <c r="M65" s="34">
        <f t="shared" si="13"/>
        <v>25161562.074977785</v>
      </c>
      <c r="N65" s="34">
        <f t="shared" si="3"/>
        <v>1.5356964934561645</v>
      </c>
      <c r="O65" s="34">
        <f t="shared" si="4"/>
        <v>97.642586140701638</v>
      </c>
      <c r="P65" s="34">
        <f t="shared" si="1"/>
        <v>0.82171736584219013</v>
      </c>
      <c r="Q65" s="34">
        <f t="shared" si="10"/>
        <v>2.3574138592983545</v>
      </c>
      <c r="R65" s="34">
        <v>4028</v>
      </c>
      <c r="S65" s="40">
        <f t="shared" si="2"/>
        <v>160</v>
      </c>
      <c r="T65" s="34">
        <v>3.7182155065238402E-3</v>
      </c>
      <c r="U65" s="34">
        <f t="shared" si="5"/>
        <v>22.201618046777327</v>
      </c>
      <c r="V65" s="34">
        <f t="shared" si="12"/>
        <v>77.798381953222673</v>
      </c>
      <c r="W65" s="34">
        <v>56.927225760967502</v>
      </c>
      <c r="X65" s="34">
        <f t="shared" si="6"/>
        <v>34.452915518151194</v>
      </c>
      <c r="Y65" s="34">
        <f t="shared" si="7"/>
        <v>65.547084481848799</v>
      </c>
      <c r="Z65" s="34">
        <v>88.340809020900494</v>
      </c>
      <c r="AA65" s="34">
        <f t="shared" si="8"/>
        <v>97.480321503218164</v>
      </c>
      <c r="AB65" s="34">
        <f t="shared" si="9"/>
        <v>2.519678496781836</v>
      </c>
      <c r="AC65" s="34">
        <v>249.949542315944</v>
      </c>
      <c r="AD65" s="34">
        <v>246.088461433254</v>
      </c>
      <c r="AE65" s="34"/>
      <c r="AF65" s="49" t="s">
        <v>31</v>
      </c>
      <c r="AG65" s="49" t="s">
        <v>31</v>
      </c>
    </row>
    <row r="66" spans="1:33" ht="15.75" hidden="1" thickBot="1" x14ac:dyDescent="0.3">
      <c r="A66" s="58" t="s">
        <v>320</v>
      </c>
      <c r="B66" s="61" t="s">
        <v>321</v>
      </c>
      <c r="C66" s="61">
        <v>0</v>
      </c>
      <c r="D66" s="61">
        <v>0</v>
      </c>
      <c r="E66" s="61">
        <v>0</v>
      </c>
      <c r="F66" s="61">
        <v>21.969035538224201</v>
      </c>
      <c r="G66" s="61">
        <v>21969035.538224202</v>
      </c>
      <c r="H66" s="61">
        <v>0</v>
      </c>
      <c r="I66" s="61">
        <v>0</v>
      </c>
      <c r="J66" s="61">
        <f t="shared" si="11"/>
        <v>0</v>
      </c>
      <c r="K66" s="61">
        <f t="shared" si="11"/>
        <v>0</v>
      </c>
      <c r="L66" s="61">
        <f t="shared" ref="L66:M97" si="14">SUM(D66+F66+H66)</f>
        <v>21.969035538224201</v>
      </c>
      <c r="M66" s="61">
        <f t="shared" si="14"/>
        <v>21969035.538224202</v>
      </c>
      <c r="N66" s="105">
        <f t="shared" si="3"/>
        <v>0</v>
      </c>
      <c r="O66" s="105">
        <f t="shared" si="4"/>
        <v>100</v>
      </c>
      <c r="P66" s="105">
        <f t="shared" ref="P66:P129" si="15">_xlfn.PERCENTOF(I66,M66)*100</f>
        <v>0</v>
      </c>
      <c r="Q66" s="61">
        <f t="shared" si="10"/>
        <v>0</v>
      </c>
      <c r="R66" s="61">
        <v>0</v>
      </c>
      <c r="S66" s="76">
        <f t="shared" ref="S66:S129" si="16">QUOTIENT(R66,L66)</f>
        <v>0</v>
      </c>
      <c r="T66" s="61"/>
      <c r="U66" s="61"/>
      <c r="V66" s="61"/>
      <c r="W66" s="61"/>
      <c r="X66" s="61"/>
      <c r="Y66" s="61"/>
      <c r="Z66" s="61"/>
      <c r="AA66" s="61">
        <f t="shared" si="8"/>
        <v>99.415882511626208</v>
      </c>
      <c r="AB66" s="61">
        <f t="shared" si="9"/>
        <v>0.58411748837379207</v>
      </c>
      <c r="AC66" s="61">
        <v>254.91251926058001</v>
      </c>
      <c r="AD66" s="61">
        <v>254.90283067553599</v>
      </c>
      <c r="AE66" s="61"/>
      <c r="AF66" s="66" t="s">
        <v>26</v>
      </c>
      <c r="AG66" s="66" t="s">
        <v>26</v>
      </c>
    </row>
    <row r="67" spans="1:33" ht="15.75" hidden="1" thickTop="1" x14ac:dyDescent="0.25">
      <c r="A67" s="78" t="s">
        <v>369</v>
      </c>
      <c r="B67" s="80" t="s">
        <v>482</v>
      </c>
      <c r="C67" s="80">
        <v>0</v>
      </c>
      <c r="D67" s="80">
        <v>0</v>
      </c>
      <c r="E67" s="80">
        <v>0</v>
      </c>
      <c r="F67" s="80">
        <v>168.603316978717</v>
      </c>
      <c r="G67" s="80">
        <v>168603316.978717</v>
      </c>
      <c r="H67" s="80">
        <v>0</v>
      </c>
      <c r="I67" s="80">
        <v>0</v>
      </c>
      <c r="J67" s="80">
        <f t="shared" si="11"/>
        <v>0</v>
      </c>
      <c r="K67" s="80">
        <f t="shared" si="11"/>
        <v>0</v>
      </c>
      <c r="L67" s="80">
        <f t="shared" si="14"/>
        <v>168.603316978717</v>
      </c>
      <c r="M67" s="80">
        <f t="shared" si="14"/>
        <v>168603316.978717</v>
      </c>
      <c r="N67" s="18">
        <f t="shared" ref="N67:N130" si="17">_xlfn.PERCENTOF(E67,M67)*100</f>
        <v>0</v>
      </c>
      <c r="O67" s="18">
        <f t="shared" ref="O67:O130" si="18">_xlfn.PERCENTOF(G67,M67)*100</f>
        <v>100</v>
      </c>
      <c r="P67" s="18">
        <f t="shared" si="15"/>
        <v>0</v>
      </c>
      <c r="Q67" s="80">
        <f t="shared" si="10"/>
        <v>0</v>
      </c>
      <c r="R67" s="80">
        <v>0</v>
      </c>
      <c r="S67" s="134">
        <f t="shared" si="16"/>
        <v>0</v>
      </c>
      <c r="T67" s="80"/>
      <c r="U67" s="80"/>
      <c r="V67" s="80"/>
      <c r="W67" s="80"/>
      <c r="X67" s="80"/>
      <c r="Y67" s="80"/>
      <c r="Z67" s="80"/>
      <c r="AA67" s="80">
        <f t="shared" ref="AA67:AA130" si="19">PRODUCT(0.39,AC67)</f>
        <v>99.114301213767845</v>
      </c>
      <c r="AB67" s="80">
        <f t="shared" ref="AB67:AB130" si="20">100-AA67</f>
        <v>0.88569878623215459</v>
      </c>
      <c r="AC67" s="80">
        <v>254.13923388145599</v>
      </c>
      <c r="AD67" s="80">
        <v>254.129116109183</v>
      </c>
      <c r="AE67" s="80"/>
      <c r="AF67" s="89" t="s">
        <v>26</v>
      </c>
      <c r="AG67" s="89" t="s">
        <v>31</v>
      </c>
    </row>
    <row r="68" spans="1:33" hidden="1" x14ac:dyDescent="0.25">
      <c r="A68" s="32" t="s">
        <v>369</v>
      </c>
      <c r="B68" s="34" t="s">
        <v>483</v>
      </c>
      <c r="C68" s="34">
        <v>4</v>
      </c>
      <c r="D68" s="34">
        <v>2.8409587249401702</v>
      </c>
      <c r="E68" s="34">
        <v>2840958.7249401701</v>
      </c>
      <c r="F68" s="34">
        <v>128.55168576724</v>
      </c>
      <c r="G68" s="34">
        <v>128551685.76724</v>
      </c>
      <c r="H68" s="34">
        <v>5.5956611767039401</v>
      </c>
      <c r="I68" s="34">
        <v>5595661.1767039401</v>
      </c>
      <c r="J68" s="34">
        <f t="shared" ref="J68:K128" si="21">SUM(H68,D68)</f>
        <v>8.4366199016441108</v>
      </c>
      <c r="K68" s="34">
        <f t="shared" si="21"/>
        <v>8436619.9016441107</v>
      </c>
      <c r="L68" s="34">
        <f t="shared" si="14"/>
        <v>136.98830566888412</v>
      </c>
      <c r="M68" s="34">
        <f t="shared" si="14"/>
        <v>136988305.6688841</v>
      </c>
      <c r="N68" s="34">
        <f t="shared" si="17"/>
        <v>2.0738695256273054</v>
      </c>
      <c r="O68" s="34">
        <f t="shared" si="18"/>
        <v>93.841357581254897</v>
      </c>
      <c r="P68" s="34">
        <f t="shared" si="15"/>
        <v>4.0847728931178056</v>
      </c>
      <c r="Q68" s="34">
        <f t="shared" ref="Q68:Q131" si="22">SUM(N68,P68)</f>
        <v>6.158642418745111</v>
      </c>
      <c r="R68" s="34">
        <v>27975</v>
      </c>
      <c r="S68" s="40">
        <f t="shared" si="16"/>
        <v>204</v>
      </c>
      <c r="T68" s="34">
        <v>2.3457373026758402E-3</v>
      </c>
      <c r="U68" s="34">
        <f t="shared" ref="U68:U126" si="23">PRODUCT(0.39,W68)</f>
        <v>21.526269129261976</v>
      </c>
      <c r="V68" s="34">
        <f t="shared" si="12"/>
        <v>78.473730870738024</v>
      </c>
      <c r="W68" s="34">
        <v>55.195561869902498</v>
      </c>
      <c r="X68" s="34">
        <f t="shared" ref="X68:X126" si="24">PRODUCT(0.39,Z68)</f>
        <v>24.918223759856428</v>
      </c>
      <c r="Y68" s="34">
        <f t="shared" ref="Y68:Y126" si="25">100-X68</f>
        <v>75.081776240143569</v>
      </c>
      <c r="Z68" s="34">
        <v>63.892881435529297</v>
      </c>
      <c r="AA68" s="34">
        <f t="shared" si="19"/>
        <v>94.089345376325525</v>
      </c>
      <c r="AB68" s="34">
        <f t="shared" si="20"/>
        <v>5.9106546236744748</v>
      </c>
      <c r="AC68" s="34">
        <v>241.25473173416799</v>
      </c>
      <c r="AD68" s="34">
        <v>229.80400115936001</v>
      </c>
      <c r="AE68" s="34" t="s">
        <v>443</v>
      </c>
      <c r="AF68" s="49" t="s">
        <v>31</v>
      </c>
      <c r="AG68" s="49" t="s">
        <v>31</v>
      </c>
    </row>
    <row r="69" spans="1:33" hidden="1" x14ac:dyDescent="0.25">
      <c r="A69" s="32" t="s">
        <v>369</v>
      </c>
      <c r="B69" s="34" t="s">
        <v>484</v>
      </c>
      <c r="C69" s="34">
        <v>0</v>
      </c>
      <c r="D69" s="34">
        <v>0</v>
      </c>
      <c r="E69" s="34">
        <v>0</v>
      </c>
      <c r="F69" s="34">
        <v>155.42172350006001</v>
      </c>
      <c r="G69" s="34">
        <v>155421723.50005999</v>
      </c>
      <c r="H69" s="34">
        <v>0</v>
      </c>
      <c r="I69" s="34">
        <v>0</v>
      </c>
      <c r="J69" s="34">
        <f t="shared" si="21"/>
        <v>0</v>
      </c>
      <c r="K69" s="34">
        <f t="shared" si="21"/>
        <v>0</v>
      </c>
      <c r="L69" s="34">
        <f t="shared" si="14"/>
        <v>155.42172350006001</v>
      </c>
      <c r="M69" s="34">
        <f t="shared" si="14"/>
        <v>155421723.50005999</v>
      </c>
      <c r="N69" s="34">
        <f t="shared" si="17"/>
        <v>0</v>
      </c>
      <c r="O69" s="34">
        <f t="shared" si="18"/>
        <v>100</v>
      </c>
      <c r="P69" s="34">
        <f t="shared" si="15"/>
        <v>0</v>
      </c>
      <c r="Q69" s="34">
        <f t="shared" si="22"/>
        <v>0</v>
      </c>
      <c r="R69" s="34">
        <v>0</v>
      </c>
      <c r="S69" s="40">
        <f t="shared" si="16"/>
        <v>0</v>
      </c>
      <c r="T69" s="34"/>
      <c r="U69" s="34"/>
      <c r="V69" s="34"/>
      <c r="W69" s="34"/>
      <c r="X69" s="34"/>
      <c r="Y69" s="34"/>
      <c r="Z69" s="34"/>
      <c r="AA69" s="34">
        <f t="shared" si="19"/>
        <v>99.260946800650444</v>
      </c>
      <c r="AB69" s="34">
        <f t="shared" si="20"/>
        <v>0.73905319934955571</v>
      </c>
      <c r="AC69" s="34">
        <v>254.515248206796</v>
      </c>
      <c r="AD69" s="34">
        <v>254.48919381394199</v>
      </c>
      <c r="AE69" s="34" t="s">
        <v>485</v>
      </c>
      <c r="AF69" s="49" t="s">
        <v>26</v>
      </c>
      <c r="AG69" s="49" t="s">
        <v>31</v>
      </c>
    </row>
    <row r="70" spans="1:33" hidden="1" x14ac:dyDescent="0.25">
      <c r="A70" s="32" t="s">
        <v>369</v>
      </c>
      <c r="B70" s="34" t="s">
        <v>486</v>
      </c>
      <c r="C70" s="34">
        <v>0</v>
      </c>
      <c r="D70" s="34">
        <v>0</v>
      </c>
      <c r="E70" s="34">
        <v>0</v>
      </c>
      <c r="F70" s="34">
        <v>144.78400054989999</v>
      </c>
      <c r="G70" s="34">
        <v>144784000.5499</v>
      </c>
      <c r="H70" s="34">
        <v>0</v>
      </c>
      <c r="I70" s="34">
        <v>0</v>
      </c>
      <c r="J70" s="34">
        <f t="shared" si="21"/>
        <v>0</v>
      </c>
      <c r="K70" s="34">
        <f t="shared" si="21"/>
        <v>0</v>
      </c>
      <c r="L70" s="34">
        <f t="shared" si="14"/>
        <v>144.78400054989999</v>
      </c>
      <c r="M70" s="34">
        <f t="shared" si="14"/>
        <v>144784000.5499</v>
      </c>
      <c r="N70" s="34">
        <f t="shared" si="17"/>
        <v>0</v>
      </c>
      <c r="O70" s="34">
        <f t="shared" si="18"/>
        <v>100</v>
      </c>
      <c r="P70" s="34">
        <f t="shared" si="15"/>
        <v>0</v>
      </c>
      <c r="Q70" s="34">
        <f t="shared" si="22"/>
        <v>0</v>
      </c>
      <c r="R70" s="34">
        <v>0</v>
      </c>
      <c r="S70" s="40">
        <f t="shared" si="16"/>
        <v>0</v>
      </c>
      <c r="T70" s="34"/>
      <c r="U70" s="34"/>
      <c r="V70" s="34"/>
      <c r="W70" s="34"/>
      <c r="X70" s="34"/>
      <c r="Y70" s="34"/>
      <c r="Z70" s="34"/>
      <c r="AA70" s="34">
        <f t="shared" si="19"/>
        <v>99.156411611800138</v>
      </c>
      <c r="AB70" s="34">
        <f t="shared" si="20"/>
        <v>0.84358838819986204</v>
      </c>
      <c r="AC70" s="34">
        <v>254.247209261026</v>
      </c>
      <c r="AD70" s="34">
        <v>254.20282349497401</v>
      </c>
      <c r="AE70" s="34"/>
      <c r="AF70" s="49" t="s">
        <v>26</v>
      </c>
      <c r="AG70" s="49" t="s">
        <v>31</v>
      </c>
    </row>
    <row r="71" spans="1:33" hidden="1" x14ac:dyDescent="0.25">
      <c r="A71" s="32" t="s">
        <v>369</v>
      </c>
      <c r="B71" s="34" t="s">
        <v>487</v>
      </c>
      <c r="C71" s="34">
        <v>4</v>
      </c>
      <c r="D71" s="34">
        <v>0.769492842111411</v>
      </c>
      <c r="E71" s="34">
        <v>769492.84211141104</v>
      </c>
      <c r="F71" s="34">
        <v>129.41984945602999</v>
      </c>
      <c r="G71" s="34">
        <v>129419849.45603</v>
      </c>
      <c r="H71" s="34">
        <v>1.9374477966735</v>
      </c>
      <c r="I71" s="34">
        <v>1937447.7966735</v>
      </c>
      <c r="J71" s="34">
        <f t="shared" si="21"/>
        <v>2.7069406387849111</v>
      </c>
      <c r="K71" s="34">
        <f t="shared" si="21"/>
        <v>2706940.638784911</v>
      </c>
      <c r="L71" s="34">
        <f t="shared" si="14"/>
        <v>132.12679009481491</v>
      </c>
      <c r="M71" s="34">
        <f t="shared" si="14"/>
        <v>132126790.09481491</v>
      </c>
      <c r="N71" s="34">
        <f t="shared" si="17"/>
        <v>0.58238971941967166</v>
      </c>
      <c r="O71" s="34">
        <f t="shared" si="18"/>
        <v>97.951255277720435</v>
      </c>
      <c r="P71" s="34">
        <f t="shared" si="15"/>
        <v>1.4663550028598868</v>
      </c>
      <c r="Q71" s="34">
        <f t="shared" si="22"/>
        <v>2.0487447222795585</v>
      </c>
      <c r="R71" s="34">
        <v>7675</v>
      </c>
      <c r="S71" s="40">
        <f t="shared" si="16"/>
        <v>58</v>
      </c>
      <c r="T71" s="34">
        <v>2.7402054984122502E-3</v>
      </c>
      <c r="U71" s="34">
        <f t="shared" si="23"/>
        <v>20.875711299457834</v>
      </c>
      <c r="V71" s="34">
        <f t="shared" ref="V71:V126" si="26">100-U71</f>
        <v>79.124288700542166</v>
      </c>
      <c r="W71" s="34">
        <v>53.5274648704047</v>
      </c>
      <c r="X71" s="34">
        <f t="shared" si="24"/>
        <v>26.033223890749962</v>
      </c>
      <c r="Y71" s="34">
        <f t="shared" si="25"/>
        <v>73.966776109250034</v>
      </c>
      <c r="Z71" s="34">
        <v>66.751856130128104</v>
      </c>
      <c r="AA71" s="34">
        <f t="shared" si="19"/>
        <v>97.610408375728568</v>
      </c>
      <c r="AB71" s="34">
        <f t="shared" si="20"/>
        <v>2.3895916242714321</v>
      </c>
      <c r="AC71" s="34">
        <v>250.28309839930401</v>
      </c>
      <c r="AD71" s="34">
        <v>246.28229053970199</v>
      </c>
      <c r="AE71" s="34"/>
      <c r="AF71" s="49" t="s">
        <v>31</v>
      </c>
      <c r="AG71" s="49" t="s">
        <v>31</v>
      </c>
    </row>
    <row r="72" spans="1:33" hidden="1" x14ac:dyDescent="0.25">
      <c r="A72" s="32" t="s">
        <v>369</v>
      </c>
      <c r="B72" s="34" t="s">
        <v>488</v>
      </c>
      <c r="C72" s="34">
        <v>0</v>
      </c>
      <c r="D72" s="34">
        <v>0</v>
      </c>
      <c r="E72" s="34">
        <v>0</v>
      </c>
      <c r="F72" s="34">
        <v>128.408772297453</v>
      </c>
      <c r="G72" s="34">
        <v>128408772.297453</v>
      </c>
      <c r="H72" s="34">
        <v>0</v>
      </c>
      <c r="I72" s="34">
        <v>0</v>
      </c>
      <c r="J72" s="34">
        <f t="shared" si="21"/>
        <v>0</v>
      </c>
      <c r="K72" s="34">
        <f t="shared" si="21"/>
        <v>0</v>
      </c>
      <c r="L72" s="34">
        <f t="shared" si="14"/>
        <v>128.408772297453</v>
      </c>
      <c r="M72" s="34">
        <f t="shared" si="14"/>
        <v>128408772.297453</v>
      </c>
      <c r="N72" s="34">
        <f t="shared" si="17"/>
        <v>0</v>
      </c>
      <c r="O72" s="34">
        <f t="shared" si="18"/>
        <v>100</v>
      </c>
      <c r="P72" s="34">
        <f t="shared" si="15"/>
        <v>0</v>
      </c>
      <c r="Q72" s="34">
        <f t="shared" si="22"/>
        <v>0</v>
      </c>
      <c r="R72" s="34">
        <v>0</v>
      </c>
      <c r="S72" s="40">
        <f t="shared" si="16"/>
        <v>0</v>
      </c>
      <c r="T72" s="34"/>
      <c r="U72" s="34"/>
      <c r="V72" s="34"/>
      <c r="W72" s="34"/>
      <c r="X72" s="34"/>
      <c r="Y72" s="34"/>
      <c r="Z72" s="34"/>
      <c r="AA72" s="34">
        <f t="shared" si="19"/>
        <v>98.938623953378439</v>
      </c>
      <c r="AB72" s="34">
        <f t="shared" si="20"/>
        <v>1.0613760466215609</v>
      </c>
      <c r="AC72" s="34">
        <v>253.68877936763701</v>
      </c>
      <c r="AD72" s="34">
        <v>253.67997280982701</v>
      </c>
      <c r="AE72" s="34"/>
      <c r="AF72" s="49" t="s">
        <v>26</v>
      </c>
      <c r="AG72" s="49" t="s">
        <v>31</v>
      </c>
    </row>
    <row r="73" spans="1:33" hidden="1" x14ac:dyDescent="0.25">
      <c r="A73" s="32" t="s">
        <v>369</v>
      </c>
      <c r="B73" s="34" t="s">
        <v>489</v>
      </c>
      <c r="C73" s="34">
        <v>0</v>
      </c>
      <c r="D73" s="34">
        <v>0</v>
      </c>
      <c r="E73" s="34">
        <v>0</v>
      </c>
      <c r="F73" s="34">
        <v>145.84468750691201</v>
      </c>
      <c r="G73" s="34">
        <v>145844687.50691199</v>
      </c>
      <c r="H73" s="34">
        <v>0</v>
      </c>
      <c r="I73" s="34">
        <v>0</v>
      </c>
      <c r="J73" s="34">
        <f t="shared" si="21"/>
        <v>0</v>
      </c>
      <c r="K73" s="34">
        <f t="shared" si="21"/>
        <v>0</v>
      </c>
      <c r="L73" s="34">
        <f t="shared" si="14"/>
        <v>145.84468750691201</v>
      </c>
      <c r="M73" s="34">
        <f t="shared" si="14"/>
        <v>145844687.50691199</v>
      </c>
      <c r="N73" s="34">
        <f t="shared" si="17"/>
        <v>0</v>
      </c>
      <c r="O73" s="34">
        <f t="shared" si="18"/>
        <v>100</v>
      </c>
      <c r="P73" s="34">
        <f t="shared" si="15"/>
        <v>0</v>
      </c>
      <c r="Q73" s="34">
        <f t="shared" si="22"/>
        <v>0</v>
      </c>
      <c r="R73" s="34">
        <v>0</v>
      </c>
      <c r="S73" s="40">
        <f t="shared" si="16"/>
        <v>0</v>
      </c>
      <c r="T73" s="34"/>
      <c r="U73" s="34"/>
      <c r="V73" s="34"/>
      <c r="W73" s="34"/>
      <c r="X73" s="34"/>
      <c r="Y73" s="34"/>
      <c r="Z73" s="34"/>
      <c r="AA73" s="34">
        <f t="shared" si="19"/>
        <v>99.235909906778588</v>
      </c>
      <c r="AB73" s="34">
        <f t="shared" si="20"/>
        <v>0.7640900932214123</v>
      </c>
      <c r="AC73" s="34">
        <v>254.45105104302201</v>
      </c>
      <c r="AD73" s="34">
        <v>254.43151815336799</v>
      </c>
      <c r="AE73" s="34"/>
      <c r="AF73" s="49" t="s">
        <v>26</v>
      </c>
      <c r="AG73" s="49" t="s">
        <v>31</v>
      </c>
    </row>
    <row r="74" spans="1:33" hidden="1" x14ac:dyDescent="0.25">
      <c r="A74" s="32" t="s">
        <v>369</v>
      </c>
      <c r="B74" s="34" t="s">
        <v>490</v>
      </c>
      <c r="C74" s="34">
        <v>0</v>
      </c>
      <c r="D74" s="34">
        <v>0</v>
      </c>
      <c r="E74" s="34">
        <v>0</v>
      </c>
      <c r="F74" s="34">
        <v>144.591261884929</v>
      </c>
      <c r="G74" s="34">
        <v>144591261.884929</v>
      </c>
      <c r="H74" s="34">
        <v>0</v>
      </c>
      <c r="I74" s="34">
        <v>0</v>
      </c>
      <c r="J74" s="34">
        <f t="shared" si="21"/>
        <v>0</v>
      </c>
      <c r="K74" s="34">
        <f t="shared" si="21"/>
        <v>0</v>
      </c>
      <c r="L74" s="34">
        <f t="shared" si="14"/>
        <v>144.591261884929</v>
      </c>
      <c r="M74" s="34">
        <f t="shared" si="14"/>
        <v>144591261.884929</v>
      </c>
      <c r="N74" s="34">
        <f t="shared" si="17"/>
        <v>0</v>
      </c>
      <c r="O74" s="34">
        <f t="shared" si="18"/>
        <v>100</v>
      </c>
      <c r="P74" s="34">
        <f t="shared" si="15"/>
        <v>0</v>
      </c>
      <c r="Q74" s="34">
        <f t="shared" si="22"/>
        <v>0</v>
      </c>
      <c r="R74" s="34">
        <v>0</v>
      </c>
      <c r="S74" s="40">
        <f t="shared" si="16"/>
        <v>0</v>
      </c>
      <c r="T74" s="34"/>
      <c r="U74" s="34"/>
      <c r="V74" s="34"/>
      <c r="W74" s="34"/>
      <c r="X74" s="34"/>
      <c r="Y74" s="34"/>
      <c r="Z74" s="34"/>
      <c r="AA74" s="34">
        <f t="shared" si="19"/>
        <v>99.15509929216438</v>
      </c>
      <c r="AB74" s="34">
        <f t="shared" si="20"/>
        <v>0.84490070783562032</v>
      </c>
      <c r="AC74" s="34">
        <v>254.24384433888301</v>
      </c>
      <c r="AD74" s="34">
        <v>254.228544460617</v>
      </c>
      <c r="AE74" s="34" t="s">
        <v>443</v>
      </c>
      <c r="AF74" s="49" t="s">
        <v>26</v>
      </c>
      <c r="AG74" s="49" t="s">
        <v>31</v>
      </c>
    </row>
    <row r="75" spans="1:33" hidden="1" x14ac:dyDescent="0.25">
      <c r="A75" s="32" t="s">
        <v>369</v>
      </c>
      <c r="B75" s="34" t="s">
        <v>491</v>
      </c>
      <c r="C75" s="34">
        <v>0</v>
      </c>
      <c r="D75" s="34">
        <v>0</v>
      </c>
      <c r="E75" s="34">
        <v>0</v>
      </c>
      <c r="F75" s="34">
        <v>139.128908014926</v>
      </c>
      <c r="G75" s="34">
        <v>139128908.01492599</v>
      </c>
      <c r="H75" s="34">
        <v>0</v>
      </c>
      <c r="I75" s="34">
        <v>0</v>
      </c>
      <c r="J75" s="34">
        <f t="shared" si="21"/>
        <v>0</v>
      </c>
      <c r="K75" s="34">
        <f t="shared" si="21"/>
        <v>0</v>
      </c>
      <c r="L75" s="34">
        <f t="shared" si="14"/>
        <v>139.128908014926</v>
      </c>
      <c r="M75" s="34">
        <f t="shared" si="14"/>
        <v>139128908.01492599</v>
      </c>
      <c r="N75" s="34">
        <f t="shared" si="17"/>
        <v>0</v>
      </c>
      <c r="O75" s="34">
        <f t="shared" si="18"/>
        <v>100</v>
      </c>
      <c r="P75" s="34">
        <f t="shared" si="15"/>
        <v>0</v>
      </c>
      <c r="Q75" s="34">
        <f t="shared" si="22"/>
        <v>0</v>
      </c>
      <c r="R75" s="34">
        <v>0</v>
      </c>
      <c r="S75" s="40">
        <f t="shared" si="16"/>
        <v>0</v>
      </c>
      <c r="T75" s="34"/>
      <c r="U75" s="34"/>
      <c r="V75" s="34"/>
      <c r="W75" s="34"/>
      <c r="X75" s="34"/>
      <c r="Y75" s="34"/>
      <c r="Z75" s="34"/>
      <c r="AA75" s="34">
        <f t="shared" si="19"/>
        <v>99.182302109129068</v>
      </c>
      <c r="AB75" s="34">
        <f t="shared" si="20"/>
        <v>0.81769789087093159</v>
      </c>
      <c r="AC75" s="34">
        <v>254.31359515161299</v>
      </c>
      <c r="AD75" s="34">
        <v>254.31473727856999</v>
      </c>
      <c r="AE75" s="34" t="s">
        <v>448</v>
      </c>
      <c r="AF75" s="49" t="s">
        <v>26</v>
      </c>
      <c r="AG75" s="49" t="s">
        <v>31</v>
      </c>
    </row>
    <row r="76" spans="1:33" hidden="1" x14ac:dyDescent="0.25">
      <c r="A76" s="32" t="s">
        <v>369</v>
      </c>
      <c r="B76" s="34" t="s">
        <v>492</v>
      </c>
      <c r="C76" s="34">
        <v>0</v>
      </c>
      <c r="D76" s="34">
        <v>0</v>
      </c>
      <c r="E76" s="34">
        <v>0</v>
      </c>
      <c r="F76" s="34">
        <v>148.48986901490099</v>
      </c>
      <c r="G76" s="34">
        <v>148489869.01490101</v>
      </c>
      <c r="H76" s="34">
        <v>0</v>
      </c>
      <c r="I76" s="34">
        <v>0</v>
      </c>
      <c r="J76" s="34">
        <f t="shared" si="21"/>
        <v>0</v>
      </c>
      <c r="K76" s="34">
        <f t="shared" si="21"/>
        <v>0</v>
      </c>
      <c r="L76" s="34">
        <f t="shared" si="14"/>
        <v>148.48986901490099</v>
      </c>
      <c r="M76" s="34">
        <f t="shared" si="14"/>
        <v>148489869.01490101</v>
      </c>
      <c r="N76" s="34">
        <f t="shared" si="17"/>
        <v>0</v>
      </c>
      <c r="O76" s="34">
        <f t="shared" si="18"/>
        <v>100</v>
      </c>
      <c r="P76" s="34">
        <f t="shared" si="15"/>
        <v>0</v>
      </c>
      <c r="Q76" s="34">
        <f t="shared" si="22"/>
        <v>0</v>
      </c>
      <c r="R76" s="34">
        <v>0</v>
      </c>
      <c r="S76" s="40">
        <f t="shared" si="16"/>
        <v>0</v>
      </c>
      <c r="T76" s="34"/>
      <c r="U76" s="34"/>
      <c r="V76" s="34"/>
      <c r="W76" s="34"/>
      <c r="X76" s="34"/>
      <c r="Y76" s="34"/>
      <c r="Z76" s="34"/>
      <c r="AA76" s="34">
        <f t="shared" si="19"/>
        <v>99.22008773347126</v>
      </c>
      <c r="AB76" s="34">
        <f t="shared" si="20"/>
        <v>0.77991226652873991</v>
      </c>
      <c r="AC76" s="34">
        <v>254.41048136787501</v>
      </c>
      <c r="AD76" s="34">
        <v>254.40247588313301</v>
      </c>
      <c r="AE76" s="34" t="s">
        <v>443</v>
      </c>
      <c r="AF76" s="49" t="s">
        <v>26</v>
      </c>
      <c r="AG76" s="49" t="s">
        <v>31</v>
      </c>
    </row>
    <row r="77" spans="1:33" hidden="1" x14ac:dyDescent="0.25">
      <c r="A77" s="32" t="s">
        <v>493</v>
      </c>
      <c r="B77" s="34" t="s">
        <v>494</v>
      </c>
      <c r="C77" s="34">
        <v>4</v>
      </c>
      <c r="D77" s="34">
        <v>2.31062981665184</v>
      </c>
      <c r="E77" s="34">
        <v>2310629.8166518402</v>
      </c>
      <c r="F77" s="34">
        <v>151.00695885354901</v>
      </c>
      <c r="G77" s="34">
        <v>151006958.853549</v>
      </c>
      <c r="H77" s="34">
        <v>2.5552795975939699</v>
      </c>
      <c r="I77" s="34">
        <v>2555279.5975939701</v>
      </c>
      <c r="J77" s="34">
        <f t="shared" si="21"/>
        <v>4.8659094142458095</v>
      </c>
      <c r="K77" s="34">
        <f t="shared" si="21"/>
        <v>4865909.4142458104</v>
      </c>
      <c r="L77" s="34">
        <f t="shared" si="14"/>
        <v>155.87286826779481</v>
      </c>
      <c r="M77" s="34">
        <f t="shared" si="14"/>
        <v>155872868.26779482</v>
      </c>
      <c r="N77" s="34">
        <f t="shared" si="17"/>
        <v>1.4823810213603694</v>
      </c>
      <c r="O77" s="34">
        <f t="shared" si="18"/>
        <v>96.878283264868131</v>
      </c>
      <c r="P77" s="34">
        <f t="shared" si="15"/>
        <v>1.6393357137715039</v>
      </c>
      <c r="Q77" s="34">
        <f t="shared" si="22"/>
        <v>3.1217167351318733</v>
      </c>
      <c r="R77" s="34">
        <v>25186</v>
      </c>
      <c r="S77" s="40">
        <f t="shared" si="16"/>
        <v>161</v>
      </c>
      <c r="T77" s="34">
        <v>1.8546079518273399E-3</v>
      </c>
      <c r="U77" s="34">
        <f t="shared" si="23"/>
        <v>22.032045813788752</v>
      </c>
      <c r="V77" s="34">
        <f t="shared" si="26"/>
        <v>77.967954186211244</v>
      </c>
      <c r="W77" s="34">
        <v>56.492425163560902</v>
      </c>
      <c r="X77" s="34">
        <f t="shared" si="24"/>
        <v>27.392733181066891</v>
      </c>
      <c r="Y77" s="34">
        <f t="shared" si="25"/>
        <v>72.607266818933113</v>
      </c>
      <c r="Z77" s="34">
        <v>70.237777387351002</v>
      </c>
      <c r="AA77" s="34">
        <f t="shared" si="19"/>
        <v>96.014959243118369</v>
      </c>
      <c r="AB77" s="34">
        <f t="shared" si="20"/>
        <v>3.9850407568816308</v>
      </c>
      <c r="AC77" s="34">
        <v>246.19220318748299</v>
      </c>
      <c r="AD77" s="34">
        <v>240.56489900126999</v>
      </c>
      <c r="AE77" s="34" t="s">
        <v>443</v>
      </c>
      <c r="AF77" s="49" t="s">
        <v>31</v>
      </c>
      <c r="AG77" s="49" t="s">
        <v>31</v>
      </c>
    </row>
    <row r="78" spans="1:33" hidden="1" x14ac:dyDescent="0.25">
      <c r="A78" s="32" t="s">
        <v>493</v>
      </c>
      <c r="B78" s="34" t="s">
        <v>495</v>
      </c>
      <c r="C78" s="34">
        <v>4</v>
      </c>
      <c r="D78" s="34">
        <v>0.26566517521059602</v>
      </c>
      <c r="E78" s="34">
        <v>265665.175210596</v>
      </c>
      <c r="F78" s="34">
        <v>154.59288395433501</v>
      </c>
      <c r="G78" s="34">
        <v>154592883.954335</v>
      </c>
      <c r="H78" s="34">
        <v>0.263046105824572</v>
      </c>
      <c r="I78" s="34">
        <v>263046.10582457198</v>
      </c>
      <c r="J78" s="34">
        <f t="shared" si="21"/>
        <v>0.52871128103516796</v>
      </c>
      <c r="K78" s="34">
        <f t="shared" si="21"/>
        <v>528711.28103516798</v>
      </c>
      <c r="L78" s="34">
        <f t="shared" si="14"/>
        <v>155.12159523537017</v>
      </c>
      <c r="M78" s="34">
        <f t="shared" si="14"/>
        <v>155121595.23537016</v>
      </c>
      <c r="N78" s="34">
        <f t="shared" si="17"/>
        <v>0.17126253427673632</v>
      </c>
      <c r="O78" s="34">
        <f t="shared" si="18"/>
        <v>99.65916332910777</v>
      </c>
      <c r="P78" s="34">
        <f t="shared" si="15"/>
        <v>0.16957413661550158</v>
      </c>
      <c r="Q78" s="34">
        <f t="shared" si="22"/>
        <v>0.3408366708922379</v>
      </c>
      <c r="R78" s="34">
        <v>2627</v>
      </c>
      <c r="S78" s="40">
        <f t="shared" si="16"/>
        <v>16</v>
      </c>
      <c r="T78" s="34">
        <v>6.6210725344717503E-3</v>
      </c>
      <c r="U78" s="34">
        <f t="shared" si="23"/>
        <v>22.120714909023238</v>
      </c>
      <c r="V78" s="34">
        <f t="shared" si="26"/>
        <v>77.879285090976765</v>
      </c>
      <c r="W78" s="34">
        <v>56.7197818180083</v>
      </c>
      <c r="X78" s="34">
        <f t="shared" si="24"/>
        <v>25.586084406118236</v>
      </c>
      <c r="Y78" s="34">
        <f t="shared" si="25"/>
        <v>74.413915593881768</v>
      </c>
      <c r="Z78" s="34">
        <v>65.605344631072398</v>
      </c>
      <c r="AA78" s="34">
        <f t="shared" si="19"/>
        <v>98.897437245782768</v>
      </c>
      <c r="AB78" s="34">
        <f t="shared" si="20"/>
        <v>1.1025627542172316</v>
      </c>
      <c r="AC78" s="34">
        <v>253.583172425084</v>
      </c>
      <c r="AD78" s="34">
        <v>252.91814445810601</v>
      </c>
      <c r="AE78" s="34" t="s">
        <v>443</v>
      </c>
      <c r="AF78" s="49" t="s">
        <v>31</v>
      </c>
      <c r="AG78" s="49" t="s">
        <v>31</v>
      </c>
    </row>
    <row r="79" spans="1:33" hidden="1" x14ac:dyDescent="0.25">
      <c r="A79" s="32" t="s">
        <v>493</v>
      </c>
      <c r="B79" s="34" t="s">
        <v>496</v>
      </c>
      <c r="C79" s="215">
        <v>0</v>
      </c>
      <c r="D79" s="34">
        <v>0</v>
      </c>
      <c r="E79" s="34">
        <v>0</v>
      </c>
      <c r="F79" s="34">
        <v>154.85145073953001</v>
      </c>
      <c r="G79" s="34">
        <v>154851450.73953</v>
      </c>
      <c r="H79" s="34">
        <v>0</v>
      </c>
      <c r="I79" s="34">
        <v>0</v>
      </c>
      <c r="J79" s="34">
        <f t="shared" si="21"/>
        <v>0</v>
      </c>
      <c r="K79" s="34">
        <f t="shared" si="21"/>
        <v>0</v>
      </c>
      <c r="L79" s="34">
        <f t="shared" si="14"/>
        <v>154.85145073953001</v>
      </c>
      <c r="M79" s="34">
        <f t="shared" si="14"/>
        <v>154851450.73953</v>
      </c>
      <c r="N79" s="34">
        <f t="shared" si="17"/>
        <v>0</v>
      </c>
      <c r="O79" s="34">
        <f t="shared" si="18"/>
        <v>100</v>
      </c>
      <c r="P79" s="34">
        <f t="shared" si="15"/>
        <v>0</v>
      </c>
      <c r="Q79" s="34">
        <f t="shared" si="22"/>
        <v>0</v>
      </c>
      <c r="R79" s="34">
        <v>0</v>
      </c>
      <c r="S79" s="40">
        <f t="shared" si="16"/>
        <v>0</v>
      </c>
      <c r="T79" s="34"/>
      <c r="U79" s="34"/>
      <c r="V79" s="34"/>
      <c r="W79" s="34"/>
      <c r="X79" s="34"/>
      <c r="Y79" s="34"/>
      <c r="Z79" s="34"/>
      <c r="AA79" s="34">
        <f t="shared" si="19"/>
        <v>99.340942249627659</v>
      </c>
      <c r="AB79" s="34">
        <f t="shared" si="20"/>
        <v>0.65905775037234093</v>
      </c>
      <c r="AC79" s="34">
        <v>254.72036474263501</v>
      </c>
      <c r="AD79" s="34">
        <v>254.70841599125299</v>
      </c>
      <c r="AE79" s="34"/>
      <c r="AF79" s="49" t="s">
        <v>26</v>
      </c>
      <c r="AG79" s="49" t="s">
        <v>31</v>
      </c>
    </row>
    <row r="80" spans="1:33" hidden="1" x14ac:dyDescent="0.25">
      <c r="A80" s="32" t="s">
        <v>493</v>
      </c>
      <c r="B80" s="34" t="s">
        <v>497</v>
      </c>
      <c r="C80" s="34">
        <v>4</v>
      </c>
      <c r="D80" s="34">
        <v>0.74952356738336001</v>
      </c>
      <c r="E80" s="34">
        <v>749523.56738336</v>
      </c>
      <c r="F80" s="34">
        <v>134.01384426586199</v>
      </c>
      <c r="G80" s="34">
        <v>134013844.265862</v>
      </c>
      <c r="H80" s="34">
        <v>0.74145295076292494</v>
      </c>
      <c r="I80" s="34">
        <v>741452.95076292497</v>
      </c>
      <c r="J80" s="34">
        <f t="shared" si="21"/>
        <v>1.4909765181462848</v>
      </c>
      <c r="K80" s="34">
        <f t="shared" si="21"/>
        <v>1490976.5181462849</v>
      </c>
      <c r="L80" s="34">
        <f t="shared" si="14"/>
        <v>135.50482078400827</v>
      </c>
      <c r="M80" s="34">
        <f t="shared" si="14"/>
        <v>135504820.78400829</v>
      </c>
      <c r="N80" s="34">
        <f t="shared" si="17"/>
        <v>0.55313424500083586</v>
      </c>
      <c r="O80" s="34">
        <f t="shared" si="18"/>
        <v>98.899687472726256</v>
      </c>
      <c r="P80" s="34">
        <f t="shared" si="15"/>
        <v>0.54717828227291243</v>
      </c>
      <c r="Q80" s="34">
        <f t="shared" si="22"/>
        <v>1.1003125272737484</v>
      </c>
      <c r="R80" s="34">
        <v>7986</v>
      </c>
      <c r="S80" s="40">
        <f t="shared" si="16"/>
        <v>58</v>
      </c>
      <c r="T80" s="34">
        <v>3.2014523167163099E-3</v>
      </c>
      <c r="U80" s="34">
        <f t="shared" si="23"/>
        <v>22.332174290971544</v>
      </c>
      <c r="V80" s="34">
        <f t="shared" si="26"/>
        <v>77.667825709028449</v>
      </c>
      <c r="W80" s="34">
        <v>57.261985361465499</v>
      </c>
      <c r="X80" s="34">
        <f t="shared" si="24"/>
        <v>26.135537659147879</v>
      </c>
      <c r="Y80" s="34">
        <f t="shared" si="25"/>
        <v>73.864462340852128</v>
      </c>
      <c r="Z80" s="34">
        <v>67.014199126020202</v>
      </c>
      <c r="AA80" s="34">
        <f t="shared" si="19"/>
        <v>98.242302321183544</v>
      </c>
      <c r="AB80" s="34">
        <f t="shared" si="20"/>
        <v>1.7576976788164558</v>
      </c>
      <c r="AC80" s="34">
        <v>251.90333928508599</v>
      </c>
      <c r="AD80" s="34">
        <v>249.89957444750499</v>
      </c>
      <c r="AE80" s="34"/>
      <c r="AF80" s="49" t="s">
        <v>31</v>
      </c>
      <c r="AG80" s="49" t="s">
        <v>31</v>
      </c>
    </row>
    <row r="81" spans="1:33" hidden="1" x14ac:dyDescent="0.25">
      <c r="A81" s="32" t="s">
        <v>493</v>
      </c>
      <c r="B81" s="34" t="s">
        <v>498</v>
      </c>
      <c r="C81" s="34">
        <v>5</v>
      </c>
      <c r="D81" s="34">
        <v>7.4729621404527196</v>
      </c>
      <c r="E81" s="34">
        <v>7472962.1404527202</v>
      </c>
      <c r="F81" s="34">
        <v>119.353156377996</v>
      </c>
      <c r="G81" s="34">
        <v>119353156.377996</v>
      </c>
      <c r="H81" s="34">
        <v>9.3468899452269802</v>
      </c>
      <c r="I81" s="34">
        <v>9346889.9452269804</v>
      </c>
      <c r="J81" s="34">
        <f t="shared" si="21"/>
        <v>16.819852085679699</v>
      </c>
      <c r="K81" s="34">
        <f t="shared" si="21"/>
        <v>16819852.085679702</v>
      </c>
      <c r="L81" s="34">
        <f t="shared" si="14"/>
        <v>136.1730084636757</v>
      </c>
      <c r="M81" s="34">
        <f t="shared" si="14"/>
        <v>136173008.46367568</v>
      </c>
      <c r="N81" s="34">
        <f t="shared" si="17"/>
        <v>5.4878439014925204</v>
      </c>
      <c r="O81" s="34">
        <f t="shared" si="18"/>
        <v>87.64817471873188</v>
      </c>
      <c r="P81" s="34">
        <f t="shared" si="15"/>
        <v>6.8639813797756215</v>
      </c>
      <c r="Q81" s="34">
        <f t="shared" si="22"/>
        <v>12.351825281268141</v>
      </c>
      <c r="R81" s="34">
        <v>86951</v>
      </c>
      <c r="S81" s="40">
        <f t="shared" si="16"/>
        <v>638</v>
      </c>
      <c r="T81" s="34">
        <v>2.2480865009129E-3</v>
      </c>
      <c r="U81" s="34">
        <f t="shared" si="23"/>
        <v>22.544513396583323</v>
      </c>
      <c r="V81" s="34">
        <f t="shared" si="26"/>
        <v>77.455486603416674</v>
      </c>
      <c r="W81" s="34">
        <v>57.806444606623899</v>
      </c>
      <c r="X81" s="34">
        <f t="shared" si="24"/>
        <v>27.694156847243054</v>
      </c>
      <c r="Y81" s="34">
        <f t="shared" si="25"/>
        <v>72.30584315275695</v>
      </c>
      <c r="Z81" s="34">
        <v>71.010658582674495</v>
      </c>
      <c r="AA81" s="34">
        <f t="shared" si="19"/>
        <v>85.056712341722545</v>
      </c>
      <c r="AB81" s="34">
        <f t="shared" si="20"/>
        <v>14.943287658277455</v>
      </c>
      <c r="AC81" s="34">
        <v>218.09413420954499</v>
      </c>
      <c r="AD81" s="34">
        <v>199.859386416413</v>
      </c>
      <c r="AE81" s="34"/>
      <c r="AF81" s="49" t="s">
        <v>31</v>
      </c>
      <c r="AG81" s="49" t="s">
        <v>31</v>
      </c>
    </row>
    <row r="82" spans="1:33" hidden="1" x14ac:dyDescent="0.25">
      <c r="A82" s="32" t="s">
        <v>493</v>
      </c>
      <c r="B82" s="34" t="s">
        <v>499</v>
      </c>
      <c r="C82" s="34">
        <v>0</v>
      </c>
      <c r="D82" s="34">
        <v>0</v>
      </c>
      <c r="E82" s="34">
        <v>0</v>
      </c>
      <c r="F82" s="34">
        <v>145.451538565568</v>
      </c>
      <c r="G82" s="34">
        <v>145451538.565568</v>
      </c>
      <c r="H82" s="34">
        <v>0</v>
      </c>
      <c r="I82" s="34">
        <v>0</v>
      </c>
      <c r="J82" s="34">
        <f t="shared" si="21"/>
        <v>0</v>
      </c>
      <c r="K82" s="34">
        <f t="shared" si="21"/>
        <v>0</v>
      </c>
      <c r="L82" s="34">
        <f t="shared" si="14"/>
        <v>145.451538565568</v>
      </c>
      <c r="M82" s="34">
        <f t="shared" si="14"/>
        <v>145451538.565568</v>
      </c>
      <c r="N82" s="34">
        <f t="shared" si="17"/>
        <v>0</v>
      </c>
      <c r="O82" s="34">
        <f t="shared" si="18"/>
        <v>100</v>
      </c>
      <c r="P82" s="34">
        <f t="shared" si="15"/>
        <v>0</v>
      </c>
      <c r="Q82" s="34">
        <f t="shared" si="22"/>
        <v>0</v>
      </c>
      <c r="R82" s="34">
        <v>0</v>
      </c>
      <c r="S82" s="40">
        <f t="shared" si="16"/>
        <v>0</v>
      </c>
      <c r="T82" s="34"/>
      <c r="U82" s="34"/>
      <c r="V82" s="34"/>
      <c r="W82" s="34"/>
      <c r="X82" s="34"/>
      <c r="Y82" s="34"/>
      <c r="Z82" s="34"/>
      <c r="AA82" s="34">
        <f t="shared" si="19"/>
        <v>99.268604945446171</v>
      </c>
      <c r="AB82" s="34">
        <f t="shared" si="20"/>
        <v>0.73139505455382903</v>
      </c>
      <c r="AC82" s="34">
        <v>254.53488447550299</v>
      </c>
      <c r="AD82" s="34">
        <v>254.51566241538001</v>
      </c>
      <c r="AE82" s="34"/>
      <c r="AF82" s="49" t="s">
        <v>26</v>
      </c>
      <c r="AG82" s="49" t="s">
        <v>31</v>
      </c>
    </row>
    <row r="83" spans="1:33" hidden="1" x14ac:dyDescent="0.25">
      <c r="A83" s="32" t="s">
        <v>493</v>
      </c>
      <c r="B83" s="34" t="s">
        <v>500</v>
      </c>
      <c r="C83" s="34">
        <v>0</v>
      </c>
      <c r="D83" s="34">
        <v>0</v>
      </c>
      <c r="E83" s="34">
        <v>0</v>
      </c>
      <c r="F83" s="34">
        <v>150.81909506189601</v>
      </c>
      <c r="G83" s="34">
        <v>150819095.061896</v>
      </c>
      <c r="H83" s="34">
        <v>0</v>
      </c>
      <c r="I83" s="34">
        <v>0</v>
      </c>
      <c r="J83" s="34">
        <f t="shared" si="21"/>
        <v>0</v>
      </c>
      <c r="K83" s="34">
        <f t="shared" si="21"/>
        <v>0</v>
      </c>
      <c r="L83" s="34">
        <f t="shared" si="14"/>
        <v>150.81909506189601</v>
      </c>
      <c r="M83" s="34">
        <f t="shared" si="14"/>
        <v>150819095.061896</v>
      </c>
      <c r="N83" s="34">
        <f t="shared" si="17"/>
        <v>0</v>
      </c>
      <c r="O83" s="34">
        <f t="shared" si="18"/>
        <v>100</v>
      </c>
      <c r="P83" s="34">
        <f t="shared" si="15"/>
        <v>0</v>
      </c>
      <c r="Q83" s="34">
        <f t="shared" si="22"/>
        <v>0</v>
      </c>
      <c r="R83" s="34">
        <v>0</v>
      </c>
      <c r="S83" s="40">
        <f t="shared" si="16"/>
        <v>0</v>
      </c>
      <c r="T83" s="34"/>
      <c r="U83" s="34"/>
      <c r="V83" s="34"/>
      <c r="W83" s="34"/>
      <c r="X83" s="34"/>
      <c r="Y83" s="34"/>
      <c r="Z83" s="34"/>
      <c r="AA83" s="34">
        <f t="shared" si="19"/>
        <v>99.31260632953726</v>
      </c>
      <c r="AB83" s="34">
        <f t="shared" si="20"/>
        <v>0.68739367046273969</v>
      </c>
      <c r="AC83" s="34">
        <v>254.64770853727501</v>
      </c>
      <c r="AD83" s="34">
        <v>254.63378296035799</v>
      </c>
      <c r="AE83" s="34"/>
      <c r="AF83" s="49" t="s">
        <v>26</v>
      </c>
      <c r="AG83" s="49" t="s">
        <v>31</v>
      </c>
    </row>
    <row r="84" spans="1:33" hidden="1" x14ac:dyDescent="0.25">
      <c r="A84" s="32" t="s">
        <v>493</v>
      </c>
      <c r="B84" s="34" t="s">
        <v>501</v>
      </c>
      <c r="C84" s="34">
        <v>0</v>
      </c>
      <c r="D84" s="34">
        <v>0</v>
      </c>
      <c r="E84" s="34">
        <v>0</v>
      </c>
      <c r="F84" s="34">
        <v>145.987447781328</v>
      </c>
      <c r="G84" s="34">
        <v>145987447.78132799</v>
      </c>
      <c r="H84" s="34">
        <v>0</v>
      </c>
      <c r="I84" s="34">
        <v>0</v>
      </c>
      <c r="J84" s="34">
        <f t="shared" si="21"/>
        <v>0</v>
      </c>
      <c r="K84" s="34">
        <f t="shared" si="21"/>
        <v>0</v>
      </c>
      <c r="L84" s="34">
        <f t="shared" si="14"/>
        <v>145.987447781328</v>
      </c>
      <c r="M84" s="34">
        <f t="shared" si="14"/>
        <v>145987447.78132799</v>
      </c>
      <c r="N84" s="34">
        <f t="shared" si="17"/>
        <v>0</v>
      </c>
      <c r="O84" s="34">
        <f t="shared" si="18"/>
        <v>100</v>
      </c>
      <c r="P84" s="34">
        <f t="shared" si="15"/>
        <v>0</v>
      </c>
      <c r="Q84" s="34">
        <f t="shared" si="22"/>
        <v>0</v>
      </c>
      <c r="R84" s="34">
        <v>0</v>
      </c>
      <c r="S84" s="40">
        <f t="shared" si="16"/>
        <v>0</v>
      </c>
      <c r="T84" s="34"/>
      <c r="U84" s="34"/>
      <c r="V84" s="34"/>
      <c r="W84" s="34"/>
      <c r="X84" s="34"/>
      <c r="Y84" s="34"/>
      <c r="Z84" s="34"/>
      <c r="AA84" s="34">
        <f t="shared" si="19"/>
        <v>99.342972974680904</v>
      </c>
      <c r="AB84" s="34">
        <f t="shared" si="20"/>
        <v>0.65702702531909551</v>
      </c>
      <c r="AC84" s="34">
        <v>254.72557172995101</v>
      </c>
      <c r="AD84" s="34">
        <v>254.69700400730599</v>
      </c>
      <c r="AE84" s="34"/>
      <c r="AF84" s="49" t="s">
        <v>26</v>
      </c>
      <c r="AG84" s="49" t="s">
        <v>31</v>
      </c>
    </row>
    <row r="85" spans="1:33" hidden="1" x14ac:dyDescent="0.25">
      <c r="A85" s="32" t="s">
        <v>493</v>
      </c>
      <c r="B85" s="34" t="s">
        <v>502</v>
      </c>
      <c r="C85" s="34">
        <v>0</v>
      </c>
      <c r="D85" s="34">
        <v>0</v>
      </c>
      <c r="E85" s="34">
        <v>0</v>
      </c>
      <c r="F85" s="34">
        <v>129.73252392209699</v>
      </c>
      <c r="G85" s="34">
        <v>129732523.922097</v>
      </c>
      <c r="H85" s="34">
        <v>0</v>
      </c>
      <c r="I85" s="34">
        <v>0</v>
      </c>
      <c r="J85" s="34">
        <f t="shared" si="21"/>
        <v>0</v>
      </c>
      <c r="K85" s="34">
        <f t="shared" si="21"/>
        <v>0</v>
      </c>
      <c r="L85" s="34">
        <f t="shared" si="14"/>
        <v>129.73252392209699</v>
      </c>
      <c r="M85" s="34">
        <f t="shared" si="14"/>
        <v>129732523.922097</v>
      </c>
      <c r="N85" s="34">
        <f t="shared" si="17"/>
        <v>0</v>
      </c>
      <c r="O85" s="34">
        <f t="shared" si="18"/>
        <v>100</v>
      </c>
      <c r="P85" s="34">
        <f t="shared" si="15"/>
        <v>0</v>
      </c>
      <c r="Q85" s="34">
        <f t="shared" si="22"/>
        <v>0</v>
      </c>
      <c r="R85" s="34">
        <v>0</v>
      </c>
      <c r="S85" s="40">
        <f t="shared" si="16"/>
        <v>0</v>
      </c>
      <c r="T85" s="34"/>
      <c r="U85" s="34"/>
      <c r="V85" s="34"/>
      <c r="W85" s="34"/>
      <c r="X85" s="34"/>
      <c r="Y85" s="34"/>
      <c r="Z85" s="34"/>
      <c r="AA85" s="34">
        <f t="shared" si="19"/>
        <v>99.29914177705119</v>
      </c>
      <c r="AB85" s="34">
        <f t="shared" si="20"/>
        <v>0.70085822294880984</v>
      </c>
      <c r="AC85" s="34">
        <v>254.61318404372099</v>
      </c>
      <c r="AD85" s="34">
        <v>254.56339721974101</v>
      </c>
      <c r="AE85" s="34"/>
      <c r="AF85" s="49" t="s">
        <v>26</v>
      </c>
      <c r="AG85" s="49" t="s">
        <v>31</v>
      </c>
    </row>
    <row r="86" spans="1:33" hidden="1" x14ac:dyDescent="0.25">
      <c r="A86" s="32" t="s">
        <v>493</v>
      </c>
      <c r="B86" s="34" t="s">
        <v>503</v>
      </c>
      <c r="C86" s="34">
        <v>0</v>
      </c>
      <c r="D86" s="34">
        <v>0</v>
      </c>
      <c r="E86" s="34">
        <v>0</v>
      </c>
      <c r="F86" s="34">
        <v>145.913941190809</v>
      </c>
      <c r="G86" s="34">
        <v>145913941.19080901</v>
      </c>
      <c r="H86" s="34">
        <v>0</v>
      </c>
      <c r="I86" s="34">
        <v>0</v>
      </c>
      <c r="J86" s="34">
        <f t="shared" si="21"/>
        <v>0</v>
      </c>
      <c r="K86" s="34">
        <f t="shared" si="21"/>
        <v>0</v>
      </c>
      <c r="L86" s="34">
        <f t="shared" si="14"/>
        <v>145.913941190809</v>
      </c>
      <c r="M86" s="34">
        <f t="shared" si="14"/>
        <v>145913941.19080901</v>
      </c>
      <c r="N86" s="34">
        <f t="shared" si="17"/>
        <v>0</v>
      </c>
      <c r="O86" s="34">
        <f t="shared" si="18"/>
        <v>100</v>
      </c>
      <c r="P86" s="34">
        <f t="shared" si="15"/>
        <v>0</v>
      </c>
      <c r="Q86" s="34">
        <f t="shared" si="22"/>
        <v>0</v>
      </c>
      <c r="R86" s="34">
        <v>0</v>
      </c>
      <c r="S86" s="40">
        <f t="shared" si="16"/>
        <v>0</v>
      </c>
      <c r="T86" s="34"/>
      <c r="U86" s="34"/>
      <c r="V86" s="34"/>
      <c r="W86" s="34"/>
      <c r="X86" s="34"/>
      <c r="Y86" s="34"/>
      <c r="Z86" s="34"/>
      <c r="AA86" s="34">
        <f t="shared" si="19"/>
        <v>99.371454411272936</v>
      </c>
      <c r="AB86" s="34">
        <f t="shared" si="20"/>
        <v>0.62854558872706434</v>
      </c>
      <c r="AC86" s="34">
        <v>254.798601054546</v>
      </c>
      <c r="AD86" s="34">
        <v>254.77546788612699</v>
      </c>
      <c r="AE86" s="34"/>
      <c r="AF86" s="49" t="s">
        <v>26</v>
      </c>
      <c r="AG86" s="49" t="s">
        <v>31</v>
      </c>
    </row>
    <row r="87" spans="1:33" hidden="1" x14ac:dyDescent="0.25">
      <c r="A87" s="32" t="s">
        <v>493</v>
      </c>
      <c r="B87" s="34" t="s">
        <v>504</v>
      </c>
      <c r="C87" s="34">
        <v>0</v>
      </c>
      <c r="D87" s="34">
        <v>0</v>
      </c>
      <c r="E87" s="34">
        <v>0</v>
      </c>
      <c r="F87" s="34">
        <v>152.49240210267601</v>
      </c>
      <c r="G87" s="34">
        <v>152492402.102676</v>
      </c>
      <c r="H87" s="34">
        <v>0</v>
      </c>
      <c r="I87" s="34">
        <v>0</v>
      </c>
      <c r="J87" s="34">
        <f t="shared" si="21"/>
        <v>0</v>
      </c>
      <c r="K87" s="34">
        <f t="shared" si="21"/>
        <v>0</v>
      </c>
      <c r="L87" s="34">
        <f t="shared" si="14"/>
        <v>152.49240210267601</v>
      </c>
      <c r="M87" s="34">
        <f t="shared" si="14"/>
        <v>152492402.102676</v>
      </c>
      <c r="N87" s="34">
        <f t="shared" si="17"/>
        <v>0</v>
      </c>
      <c r="O87" s="34">
        <f t="shared" si="18"/>
        <v>100</v>
      </c>
      <c r="P87" s="34">
        <f t="shared" si="15"/>
        <v>0</v>
      </c>
      <c r="Q87" s="34">
        <f t="shared" si="22"/>
        <v>0</v>
      </c>
      <c r="R87" s="34">
        <v>0</v>
      </c>
      <c r="S87" s="40">
        <f t="shared" si="16"/>
        <v>0</v>
      </c>
      <c r="T87" s="34"/>
      <c r="U87" s="34"/>
      <c r="V87" s="34"/>
      <c r="W87" s="34"/>
      <c r="X87" s="34"/>
      <c r="Y87" s="34"/>
      <c r="Z87" s="34"/>
      <c r="AA87" s="34">
        <f t="shared" si="19"/>
        <v>99.347081267479894</v>
      </c>
      <c r="AB87" s="34">
        <f t="shared" si="20"/>
        <v>0.65291873252010646</v>
      </c>
      <c r="AC87" s="34">
        <v>254.736105814051</v>
      </c>
      <c r="AD87" s="34">
        <v>254.72326103398601</v>
      </c>
      <c r="AE87" s="34"/>
      <c r="AF87" s="49" t="s">
        <v>26</v>
      </c>
      <c r="AG87" s="49" t="s">
        <v>31</v>
      </c>
    </row>
    <row r="88" spans="1:33" hidden="1" x14ac:dyDescent="0.25">
      <c r="A88" s="32" t="s">
        <v>493</v>
      </c>
      <c r="B88" s="34" t="s">
        <v>505</v>
      </c>
      <c r="C88" s="34">
        <v>0</v>
      </c>
      <c r="D88" s="34">
        <v>0</v>
      </c>
      <c r="E88" s="34">
        <v>0</v>
      </c>
      <c r="F88" s="34">
        <v>159.957418387725</v>
      </c>
      <c r="G88" s="34">
        <v>159957418.387725</v>
      </c>
      <c r="H88" s="34">
        <v>0</v>
      </c>
      <c r="I88" s="34">
        <v>0</v>
      </c>
      <c r="J88" s="34">
        <f t="shared" si="21"/>
        <v>0</v>
      </c>
      <c r="K88" s="34">
        <f t="shared" si="21"/>
        <v>0</v>
      </c>
      <c r="L88" s="34">
        <f t="shared" si="14"/>
        <v>159.957418387725</v>
      </c>
      <c r="M88" s="34">
        <f t="shared" si="14"/>
        <v>159957418.387725</v>
      </c>
      <c r="N88" s="34">
        <f t="shared" si="17"/>
        <v>0</v>
      </c>
      <c r="O88" s="34">
        <f t="shared" si="18"/>
        <v>100</v>
      </c>
      <c r="P88" s="34">
        <f t="shared" si="15"/>
        <v>0</v>
      </c>
      <c r="Q88" s="34">
        <f t="shared" si="22"/>
        <v>0</v>
      </c>
      <c r="R88" s="34">
        <v>0</v>
      </c>
      <c r="S88" s="40">
        <f t="shared" si="16"/>
        <v>0</v>
      </c>
      <c r="T88" s="34"/>
      <c r="U88" s="34"/>
      <c r="V88" s="34"/>
      <c r="W88" s="34"/>
      <c r="X88" s="34"/>
      <c r="Y88" s="34"/>
      <c r="Z88" s="34"/>
      <c r="AA88" s="34">
        <f t="shared" si="19"/>
        <v>99.342860148924217</v>
      </c>
      <c r="AB88" s="34">
        <f t="shared" si="20"/>
        <v>0.6571398510757831</v>
      </c>
      <c r="AC88" s="34">
        <v>254.725282433139</v>
      </c>
      <c r="AD88" s="34">
        <v>254.72014037420399</v>
      </c>
      <c r="AE88" s="34"/>
      <c r="AF88" s="49" t="s">
        <v>26</v>
      </c>
      <c r="AG88" s="49" t="s">
        <v>26</v>
      </c>
    </row>
    <row r="89" spans="1:33" ht="15.75" hidden="1" thickBot="1" x14ac:dyDescent="0.3">
      <c r="A89" s="103" t="s">
        <v>493</v>
      </c>
      <c r="B89" s="105" t="s">
        <v>506</v>
      </c>
      <c r="C89" s="105">
        <v>0</v>
      </c>
      <c r="D89" s="105">
        <v>0</v>
      </c>
      <c r="E89" s="105">
        <v>0</v>
      </c>
      <c r="F89" s="105">
        <v>144.93814805223201</v>
      </c>
      <c r="G89" s="105">
        <v>144938148.052232</v>
      </c>
      <c r="H89" s="105">
        <v>0</v>
      </c>
      <c r="I89" s="105">
        <v>0</v>
      </c>
      <c r="J89" s="105">
        <f t="shared" si="21"/>
        <v>0</v>
      </c>
      <c r="K89" s="105">
        <f t="shared" si="21"/>
        <v>0</v>
      </c>
      <c r="L89" s="105">
        <f t="shared" si="14"/>
        <v>144.93814805223201</v>
      </c>
      <c r="M89" s="105">
        <f t="shared" si="14"/>
        <v>144938148.052232</v>
      </c>
      <c r="N89" s="61">
        <f t="shared" si="17"/>
        <v>0</v>
      </c>
      <c r="O89" s="61">
        <f t="shared" si="18"/>
        <v>100</v>
      </c>
      <c r="P89" s="61">
        <f t="shared" si="15"/>
        <v>0</v>
      </c>
      <c r="Q89" s="105">
        <f t="shared" si="22"/>
        <v>0</v>
      </c>
      <c r="R89" s="105">
        <v>0</v>
      </c>
      <c r="S89" s="145">
        <f t="shared" si="16"/>
        <v>0</v>
      </c>
      <c r="T89" s="105"/>
      <c r="U89" s="105"/>
      <c r="V89" s="105"/>
      <c r="W89" s="105"/>
      <c r="X89" s="105"/>
      <c r="Y89" s="105"/>
      <c r="Z89" s="105"/>
      <c r="AA89" s="105">
        <f t="shared" si="19"/>
        <v>99.356427806656029</v>
      </c>
      <c r="AB89" s="105">
        <f t="shared" si="20"/>
        <v>0.64357219334397087</v>
      </c>
      <c r="AC89" s="105">
        <v>254.76007129911801</v>
      </c>
      <c r="AD89" s="105">
        <v>254.729977876058</v>
      </c>
      <c r="AE89" s="105"/>
      <c r="AF89" s="114" t="s">
        <v>26</v>
      </c>
      <c r="AG89" s="114" t="s">
        <v>31</v>
      </c>
    </row>
    <row r="90" spans="1:33" ht="15.75" hidden="1" thickTop="1" x14ac:dyDescent="0.25">
      <c r="A90" s="15" t="s">
        <v>507</v>
      </c>
      <c r="B90" s="18" t="s">
        <v>508</v>
      </c>
      <c r="C90" s="18">
        <v>5</v>
      </c>
      <c r="D90" s="18">
        <v>2.6118215694525801</v>
      </c>
      <c r="E90" s="18">
        <v>2611821.5694525801</v>
      </c>
      <c r="F90" s="18">
        <v>17.829584504408299</v>
      </c>
      <c r="G90" s="18">
        <v>17829584.5044083</v>
      </c>
      <c r="H90" s="18">
        <v>13.702275834479799</v>
      </c>
      <c r="I90" s="18">
        <v>13702275.834479799</v>
      </c>
      <c r="J90" s="18">
        <f t="shared" si="21"/>
        <v>16.314097403932379</v>
      </c>
      <c r="K90" s="18">
        <f t="shared" si="21"/>
        <v>16314097.40393238</v>
      </c>
      <c r="L90" s="18">
        <f t="shared" si="14"/>
        <v>34.143681908340682</v>
      </c>
      <c r="M90" s="18">
        <f t="shared" si="14"/>
        <v>34143681.908340678</v>
      </c>
      <c r="N90" s="80">
        <f t="shared" si="17"/>
        <v>7.6495018213444634</v>
      </c>
      <c r="O90" s="80">
        <f t="shared" si="18"/>
        <v>52.219278964325341</v>
      </c>
      <c r="P90" s="80">
        <f t="shared" si="15"/>
        <v>40.131219214330201</v>
      </c>
      <c r="Q90" s="18">
        <f t="shared" si="22"/>
        <v>47.780721035674667</v>
      </c>
      <c r="R90" s="18">
        <v>35209</v>
      </c>
      <c r="S90" s="24">
        <f t="shared" si="16"/>
        <v>1031</v>
      </c>
      <c r="T90" s="18">
        <v>2.4677691981196399E-3</v>
      </c>
      <c r="U90" s="18">
        <f t="shared" si="23"/>
        <v>20.813304690512762</v>
      </c>
      <c r="V90" s="18">
        <f t="shared" si="26"/>
        <v>79.186695309487234</v>
      </c>
      <c r="W90" s="18">
        <v>53.367447924391698</v>
      </c>
      <c r="X90" s="18">
        <f t="shared" si="24"/>
        <v>22.988496518649207</v>
      </c>
      <c r="Y90" s="18">
        <f t="shared" si="25"/>
        <v>77.011503481350786</v>
      </c>
      <c r="Z90" s="18">
        <v>58.944862868331299</v>
      </c>
      <c r="AA90" s="18">
        <f t="shared" si="19"/>
        <v>68.44476480719085</v>
      </c>
      <c r="AB90" s="18">
        <f t="shared" si="20"/>
        <v>31.55523519280915</v>
      </c>
      <c r="AC90" s="18">
        <v>175.49939694151499</v>
      </c>
      <c r="AD90" s="18">
        <v>121.298162947519</v>
      </c>
      <c r="AE90" s="18" t="s">
        <v>431</v>
      </c>
      <c r="AF90" s="119" t="s">
        <v>31</v>
      </c>
      <c r="AG90" s="119" t="s">
        <v>26</v>
      </c>
    </row>
    <row r="91" spans="1:33" ht="15.75" hidden="1" thickBot="1" x14ac:dyDescent="0.3">
      <c r="A91" s="58" t="s">
        <v>507</v>
      </c>
      <c r="B91" s="61" t="s">
        <v>509</v>
      </c>
      <c r="C91" s="61">
        <v>5</v>
      </c>
      <c r="D91" s="61">
        <v>2.70197695582111</v>
      </c>
      <c r="E91" s="61">
        <v>2701976.9558211099</v>
      </c>
      <c r="F91" s="61">
        <v>17.4610838301037</v>
      </c>
      <c r="G91" s="61">
        <v>17461083.830103699</v>
      </c>
      <c r="H91" s="61">
        <v>18.258488845760098</v>
      </c>
      <c r="I91" s="61">
        <v>18258488.8457601</v>
      </c>
      <c r="J91" s="61">
        <f t="shared" si="21"/>
        <v>20.960465801581208</v>
      </c>
      <c r="K91" s="61">
        <f t="shared" si="21"/>
        <v>20960465.801581211</v>
      </c>
      <c r="L91" s="61">
        <f t="shared" si="14"/>
        <v>38.421549631684911</v>
      </c>
      <c r="M91" s="61">
        <f t="shared" si="14"/>
        <v>38421549.631684907</v>
      </c>
      <c r="N91" s="105">
        <f t="shared" si="17"/>
        <v>7.0324517926077714</v>
      </c>
      <c r="O91" s="105">
        <f t="shared" si="18"/>
        <v>45.446068671067223</v>
      </c>
      <c r="P91" s="105">
        <f t="shared" si="15"/>
        <v>47.521479536325003</v>
      </c>
      <c r="Q91" s="61">
        <f t="shared" si="22"/>
        <v>54.553931328932777</v>
      </c>
      <c r="R91" s="61">
        <v>35873</v>
      </c>
      <c r="S91" s="76">
        <f t="shared" si="16"/>
        <v>933</v>
      </c>
      <c r="T91" s="61">
        <v>2.0629293285310199E-3</v>
      </c>
      <c r="U91" s="61">
        <f t="shared" si="23"/>
        <v>20.623481868178917</v>
      </c>
      <c r="V91" s="61">
        <f t="shared" si="26"/>
        <v>79.376518131821086</v>
      </c>
      <c r="W91" s="61">
        <v>52.880722738920298</v>
      </c>
      <c r="X91" s="61">
        <f t="shared" si="24"/>
        <v>19.72611109877343</v>
      </c>
      <c r="Y91" s="61">
        <f t="shared" si="25"/>
        <v>80.27388890122657</v>
      </c>
      <c r="Z91" s="61">
        <v>50.579772048137002</v>
      </c>
      <c r="AA91" s="61">
        <f t="shared" si="19"/>
        <v>64.324584900550263</v>
      </c>
      <c r="AB91" s="61">
        <f t="shared" si="20"/>
        <v>35.675415099449737</v>
      </c>
      <c r="AC91" s="61">
        <v>164.93483307833401</v>
      </c>
      <c r="AD91" s="61">
        <v>106.87388644684999</v>
      </c>
      <c r="AE91" s="61" t="s">
        <v>431</v>
      </c>
      <c r="AF91" s="66" t="s">
        <v>31</v>
      </c>
      <c r="AG91" s="66" t="s">
        <v>31</v>
      </c>
    </row>
    <row r="92" spans="1:33" ht="16.5" hidden="1" thickTop="1" thickBot="1" x14ac:dyDescent="0.3">
      <c r="A92" s="220" t="s">
        <v>77</v>
      </c>
      <c r="B92" s="226" t="s">
        <v>510</v>
      </c>
      <c r="C92" s="226">
        <v>0</v>
      </c>
      <c r="D92" s="226">
        <v>0</v>
      </c>
      <c r="E92" s="226">
        <v>0</v>
      </c>
      <c r="F92" s="226">
        <v>20.9898198396988</v>
      </c>
      <c r="G92" s="226">
        <v>20989819.839698799</v>
      </c>
      <c r="H92" s="226">
        <v>0</v>
      </c>
      <c r="I92" s="226">
        <v>0</v>
      </c>
      <c r="J92" s="226">
        <f t="shared" si="21"/>
        <v>0</v>
      </c>
      <c r="K92" s="226">
        <f t="shared" si="21"/>
        <v>0</v>
      </c>
      <c r="L92" s="215">
        <f t="shared" si="14"/>
        <v>20.9898198396988</v>
      </c>
      <c r="M92" s="215">
        <f t="shared" si="14"/>
        <v>20989819.839698799</v>
      </c>
      <c r="N92" s="196">
        <f t="shared" si="17"/>
        <v>0</v>
      </c>
      <c r="O92" s="196">
        <f t="shared" si="18"/>
        <v>100</v>
      </c>
      <c r="P92" s="196">
        <f t="shared" si="15"/>
        <v>0</v>
      </c>
      <c r="Q92" s="215">
        <f t="shared" si="22"/>
        <v>0</v>
      </c>
      <c r="R92" s="226">
        <v>0</v>
      </c>
      <c r="S92" s="273">
        <f t="shared" si="16"/>
        <v>0</v>
      </c>
      <c r="T92" s="226"/>
      <c r="U92" s="226"/>
      <c r="V92" s="226"/>
      <c r="W92" s="226"/>
      <c r="X92" s="226"/>
      <c r="Y92" s="226"/>
      <c r="Z92" s="226"/>
      <c r="AA92" s="226">
        <f t="shared" si="19"/>
        <v>88.989436639225204</v>
      </c>
      <c r="AB92" s="226">
        <f t="shared" si="20"/>
        <v>11.010563360774796</v>
      </c>
      <c r="AC92" s="226">
        <v>228.17804266467999</v>
      </c>
      <c r="AD92" s="226">
        <v>228.48368047338599</v>
      </c>
      <c r="AE92" s="226"/>
      <c r="AF92" s="169" t="s">
        <v>26</v>
      </c>
      <c r="AG92" s="169" t="s">
        <v>31</v>
      </c>
    </row>
    <row r="93" spans="1:33" ht="15.75" hidden="1" thickTop="1" x14ac:dyDescent="0.25">
      <c r="A93" s="15" t="s">
        <v>80</v>
      </c>
      <c r="B93" s="24" t="s">
        <v>511</v>
      </c>
      <c r="C93" s="24">
        <v>0</v>
      </c>
      <c r="D93" s="24">
        <v>0</v>
      </c>
      <c r="E93" s="24">
        <v>0</v>
      </c>
      <c r="F93" s="24">
        <v>40.958265456500897</v>
      </c>
      <c r="G93" s="24">
        <v>40958265.456500903</v>
      </c>
      <c r="H93" s="24">
        <v>0</v>
      </c>
      <c r="I93" s="24">
        <v>0</v>
      </c>
      <c r="J93" s="24">
        <f t="shared" si="21"/>
        <v>0</v>
      </c>
      <c r="K93" s="24">
        <f t="shared" si="21"/>
        <v>0</v>
      </c>
      <c r="L93" s="18">
        <f t="shared" si="14"/>
        <v>40.958265456500897</v>
      </c>
      <c r="M93" s="18">
        <f t="shared" si="14"/>
        <v>40958265.456500903</v>
      </c>
      <c r="N93" s="80">
        <f t="shared" si="17"/>
        <v>0</v>
      </c>
      <c r="O93" s="80">
        <f t="shared" si="18"/>
        <v>100</v>
      </c>
      <c r="P93" s="80">
        <f t="shared" si="15"/>
        <v>0</v>
      </c>
      <c r="Q93" s="18">
        <f t="shared" si="22"/>
        <v>0</v>
      </c>
      <c r="R93" s="24">
        <v>0</v>
      </c>
      <c r="S93" s="24">
        <f t="shared" si="16"/>
        <v>0</v>
      </c>
      <c r="T93" s="24"/>
      <c r="U93" s="24"/>
      <c r="V93" s="24"/>
      <c r="W93" s="24"/>
      <c r="X93" s="24"/>
      <c r="Y93" s="24"/>
      <c r="Z93" s="24"/>
      <c r="AA93" s="24">
        <f t="shared" si="19"/>
        <v>90.224732679792751</v>
      </c>
      <c r="AB93" s="24">
        <f t="shared" si="20"/>
        <v>9.7752673202072486</v>
      </c>
      <c r="AC93" s="24">
        <v>231.34546840972499</v>
      </c>
      <c r="AD93" s="24">
        <v>232.20009230122201</v>
      </c>
      <c r="AE93" s="24" t="s">
        <v>443</v>
      </c>
      <c r="AF93" s="119" t="s">
        <v>26</v>
      </c>
      <c r="AG93" s="119" t="s">
        <v>31</v>
      </c>
    </row>
    <row r="94" spans="1:33" hidden="1" x14ac:dyDescent="0.25">
      <c r="A94" s="32" t="s">
        <v>80</v>
      </c>
      <c r="B94" s="40" t="s">
        <v>512</v>
      </c>
      <c r="C94" s="40">
        <v>0</v>
      </c>
      <c r="D94" s="40">
        <v>0</v>
      </c>
      <c r="E94" s="40">
        <v>0</v>
      </c>
      <c r="F94" s="40">
        <v>52.763871862694799</v>
      </c>
      <c r="G94" s="40">
        <v>52763871.8626948</v>
      </c>
      <c r="H94" s="40">
        <v>0</v>
      </c>
      <c r="I94" s="40">
        <v>0</v>
      </c>
      <c r="J94" s="40">
        <f t="shared" si="21"/>
        <v>0</v>
      </c>
      <c r="K94" s="40">
        <f t="shared" si="21"/>
        <v>0</v>
      </c>
      <c r="L94" s="34">
        <f t="shared" si="14"/>
        <v>52.763871862694799</v>
      </c>
      <c r="M94" s="34">
        <f t="shared" si="14"/>
        <v>52763871.8626948</v>
      </c>
      <c r="N94" s="34">
        <f t="shared" si="17"/>
        <v>0</v>
      </c>
      <c r="O94" s="34">
        <f t="shared" si="18"/>
        <v>100</v>
      </c>
      <c r="P94" s="34">
        <f t="shared" si="15"/>
        <v>0</v>
      </c>
      <c r="Q94" s="34">
        <f t="shared" si="22"/>
        <v>0</v>
      </c>
      <c r="R94" s="40">
        <v>0</v>
      </c>
      <c r="S94" s="40">
        <f t="shared" si="16"/>
        <v>0</v>
      </c>
      <c r="T94" s="40"/>
      <c r="U94" s="40"/>
      <c r="V94" s="40"/>
      <c r="W94" s="40"/>
      <c r="X94" s="40"/>
      <c r="Y94" s="40"/>
      <c r="Z94" s="40"/>
      <c r="AA94" s="40">
        <f t="shared" si="19"/>
        <v>87.385833774800346</v>
      </c>
      <c r="AB94" s="40">
        <f t="shared" si="20"/>
        <v>12.614166225199654</v>
      </c>
      <c r="AC94" s="40">
        <v>224.066240448206</v>
      </c>
      <c r="AD94" s="40">
        <v>224.50730316435599</v>
      </c>
      <c r="AE94" s="40"/>
      <c r="AF94" s="49" t="s">
        <v>26</v>
      </c>
      <c r="AG94" s="49" t="s">
        <v>31</v>
      </c>
    </row>
    <row r="95" spans="1:33" hidden="1" x14ac:dyDescent="0.25">
      <c r="A95" s="32" t="s">
        <v>80</v>
      </c>
      <c r="B95" s="40" t="s">
        <v>513</v>
      </c>
      <c r="C95" s="40">
        <v>3</v>
      </c>
      <c r="D95" s="40">
        <v>1.9781449987771801E-2</v>
      </c>
      <c r="E95" s="40">
        <v>19781.449987771801</v>
      </c>
      <c r="F95" s="40">
        <v>29.5619194184073</v>
      </c>
      <c r="G95" s="40">
        <v>29561919.418407299</v>
      </c>
      <c r="H95" s="40">
        <v>4.8643665677159199E-2</v>
      </c>
      <c r="I95" s="40">
        <v>48643.665677159202</v>
      </c>
      <c r="J95" s="40">
        <f t="shared" si="21"/>
        <v>6.8425115664931008E-2</v>
      </c>
      <c r="K95" s="40">
        <f t="shared" si="21"/>
        <v>68425.115664931</v>
      </c>
      <c r="L95" s="34">
        <f t="shared" si="14"/>
        <v>29.630344534072229</v>
      </c>
      <c r="M95" s="34">
        <f t="shared" si="14"/>
        <v>29630344.534072232</v>
      </c>
      <c r="N95" s="34">
        <f t="shared" si="17"/>
        <v>6.6760782902895083E-2</v>
      </c>
      <c r="O95" s="34">
        <f t="shared" si="18"/>
        <v>99.769070806496202</v>
      </c>
      <c r="P95" s="34">
        <f t="shared" si="15"/>
        <v>0.16416841060090734</v>
      </c>
      <c r="Q95" s="34">
        <f t="shared" si="22"/>
        <v>0.23092919350380242</v>
      </c>
      <c r="R95">
        <v>186</v>
      </c>
      <c r="S95" s="40">
        <f t="shared" si="16"/>
        <v>6</v>
      </c>
      <c r="T95" s="40">
        <v>1.1069147847592799E-2</v>
      </c>
      <c r="U95" s="40">
        <f t="shared" si="23"/>
        <v>21.767515670376568</v>
      </c>
      <c r="V95" s="40">
        <f t="shared" si="26"/>
        <v>78.232484329623432</v>
      </c>
      <c r="W95" s="40">
        <v>55.814142744555298</v>
      </c>
      <c r="X95" s="40">
        <f t="shared" si="24"/>
        <v>5.387220438569775E-3</v>
      </c>
      <c r="Y95" s="40">
        <f t="shared" si="25"/>
        <v>99.994612779561436</v>
      </c>
      <c r="Z95">
        <v>1.3813385739922499E-2</v>
      </c>
      <c r="AA95" s="40">
        <f t="shared" si="19"/>
        <v>21.761379563045615</v>
      </c>
      <c r="AB95" s="40">
        <f t="shared" si="20"/>
        <v>78.238620436954392</v>
      </c>
      <c r="AC95">
        <v>55.798409136014399</v>
      </c>
      <c r="AD95">
        <v>253.89346123448101</v>
      </c>
      <c r="AE95" s="40" t="s">
        <v>443</v>
      </c>
      <c r="AF95" s="49" t="s">
        <v>31</v>
      </c>
      <c r="AG95" s="49" t="s">
        <v>31</v>
      </c>
    </row>
    <row r="96" spans="1:33" hidden="1" x14ac:dyDescent="0.25">
      <c r="A96" s="32" t="s">
        <v>80</v>
      </c>
      <c r="B96" s="34" t="s">
        <v>514</v>
      </c>
      <c r="C96" s="34">
        <v>3</v>
      </c>
      <c r="D96" s="34">
        <v>6.0163509768343601E-2</v>
      </c>
      <c r="E96" s="34">
        <v>60163.509768343603</v>
      </c>
      <c r="F96" s="34">
        <v>45.722720897671799</v>
      </c>
      <c r="G96" s="34">
        <v>45722720.897671796</v>
      </c>
      <c r="H96" s="34">
        <v>0.14421399762881101</v>
      </c>
      <c r="I96" s="34">
        <v>144213.99762881099</v>
      </c>
      <c r="J96" s="34">
        <f t="shared" si="21"/>
        <v>0.2043775073971546</v>
      </c>
      <c r="K96" s="34">
        <f t="shared" si="21"/>
        <v>204377.50739715458</v>
      </c>
      <c r="L96" s="34">
        <f t="shared" si="14"/>
        <v>45.927098405068953</v>
      </c>
      <c r="M96" s="34">
        <f t="shared" si="14"/>
        <v>45927098.405068949</v>
      </c>
      <c r="N96" s="34">
        <f t="shared" si="17"/>
        <v>0.13099784627740252</v>
      </c>
      <c r="O96" s="34">
        <f t="shared" si="18"/>
        <v>99.554995820562027</v>
      </c>
      <c r="P96" s="34">
        <f t="shared" si="15"/>
        <v>0.31400633316058602</v>
      </c>
      <c r="Q96" s="34">
        <f t="shared" si="22"/>
        <v>0.44500417943798853</v>
      </c>
      <c r="R96" s="34">
        <v>617</v>
      </c>
      <c r="S96" s="40">
        <f t="shared" si="16"/>
        <v>13</v>
      </c>
      <c r="T96" s="34">
        <v>8.0020567402243597E-3</v>
      </c>
      <c r="U96" s="34">
        <f t="shared" si="23"/>
        <v>21.709962211970058</v>
      </c>
      <c r="V96" s="34">
        <f t="shared" si="26"/>
        <v>78.290037788029935</v>
      </c>
      <c r="W96" s="34">
        <v>55.666569774282202</v>
      </c>
      <c r="X96" s="34">
        <f t="shared" si="24"/>
        <v>28.075733452086801</v>
      </c>
      <c r="Y96" s="34">
        <f t="shared" si="25"/>
        <v>71.924266547913192</v>
      </c>
      <c r="Z96" s="34">
        <v>71.989060133555896</v>
      </c>
      <c r="AA96" s="34">
        <f t="shared" si="19"/>
        <v>99.15001584749119</v>
      </c>
      <c r="AB96" s="34">
        <f t="shared" si="20"/>
        <v>0.8499841525088101</v>
      </c>
      <c r="AC96" s="34">
        <v>254.230809865362</v>
      </c>
      <c r="AD96" s="34">
        <v>253.31955836829701</v>
      </c>
      <c r="AE96" s="34"/>
      <c r="AF96" s="49" t="s">
        <v>31</v>
      </c>
      <c r="AG96" s="49" t="s">
        <v>31</v>
      </c>
    </row>
    <row r="97" spans="1:33" hidden="1" x14ac:dyDescent="0.25">
      <c r="A97" s="32" t="s">
        <v>80</v>
      </c>
      <c r="B97" s="34" t="s">
        <v>515</v>
      </c>
      <c r="C97" s="34">
        <v>5</v>
      </c>
      <c r="D97" s="34">
        <v>1.1343177349172</v>
      </c>
      <c r="E97" s="34">
        <v>1134317.7349171999</v>
      </c>
      <c r="F97" s="34">
        <v>53.639845530242198</v>
      </c>
      <c r="G97" s="34">
        <v>53639845.530242197</v>
      </c>
      <c r="H97" s="34">
        <v>3.1788725165784699</v>
      </c>
      <c r="I97" s="34">
        <v>3178872.5165784699</v>
      </c>
      <c r="J97" s="34">
        <f t="shared" si="21"/>
        <v>4.3131902514956701</v>
      </c>
      <c r="K97" s="34">
        <f t="shared" si="21"/>
        <v>4313190.2514956696</v>
      </c>
      <c r="L97" s="34">
        <f t="shared" si="14"/>
        <v>57.953035781737867</v>
      </c>
      <c r="M97" s="34">
        <f t="shared" si="14"/>
        <v>57953035.781737871</v>
      </c>
      <c r="N97" s="34">
        <f t="shared" si="17"/>
        <v>1.9573051171801521</v>
      </c>
      <c r="O97" s="34">
        <f t="shared" si="18"/>
        <v>92.557438634034696</v>
      </c>
      <c r="P97" s="34">
        <f t="shared" si="15"/>
        <v>5.4852562487851486</v>
      </c>
      <c r="Q97" s="34">
        <f t="shared" si="22"/>
        <v>7.4425613659653003</v>
      </c>
      <c r="R97" s="34">
        <v>12692</v>
      </c>
      <c r="S97" s="40">
        <f t="shared" si="16"/>
        <v>219</v>
      </c>
      <c r="T97" s="34">
        <v>5.0857868045568397E-3</v>
      </c>
      <c r="U97" s="34">
        <f t="shared" si="23"/>
        <v>21.604633187350398</v>
      </c>
      <c r="V97" s="34">
        <f t="shared" si="26"/>
        <v>78.395366812649598</v>
      </c>
      <c r="W97" s="34">
        <v>55.396495352180501</v>
      </c>
      <c r="X97" s="34">
        <f t="shared" si="24"/>
        <v>26.405340174867341</v>
      </c>
      <c r="Y97" s="34">
        <f t="shared" si="25"/>
        <v>73.594659825132652</v>
      </c>
      <c r="Z97" s="34">
        <v>67.706000448377793</v>
      </c>
      <c r="AA97" s="34">
        <f t="shared" si="19"/>
        <v>94.74950964270792</v>
      </c>
      <c r="AB97" s="34">
        <f t="shared" si="20"/>
        <v>5.2504903572920796</v>
      </c>
      <c r="AC97" s="34">
        <v>242.94746062232801</v>
      </c>
      <c r="AD97" s="34">
        <v>228.99022603900599</v>
      </c>
      <c r="AE97" s="34"/>
      <c r="AF97" s="49" t="s">
        <v>31</v>
      </c>
      <c r="AG97" s="49" t="s">
        <v>31</v>
      </c>
    </row>
    <row r="98" spans="1:33" ht="15.75" hidden="1" thickBot="1" x14ac:dyDescent="0.3">
      <c r="A98" s="58" t="s">
        <v>80</v>
      </c>
      <c r="B98" s="61" t="s">
        <v>516</v>
      </c>
      <c r="C98" s="61">
        <v>4</v>
      </c>
      <c r="D98" s="61">
        <v>0.287198717209733</v>
      </c>
      <c r="E98" s="61">
        <v>287198.71720973297</v>
      </c>
      <c r="F98" s="61">
        <v>51.824768039053602</v>
      </c>
      <c r="G98" s="61">
        <v>51824768.039053597</v>
      </c>
      <c r="H98" s="61">
        <v>0.63593826420681698</v>
      </c>
      <c r="I98" s="61">
        <v>635938.26420681702</v>
      </c>
      <c r="J98" s="61">
        <f t="shared" si="21"/>
        <v>0.92313698141654998</v>
      </c>
      <c r="K98" s="61">
        <f t="shared" si="21"/>
        <v>923136.98141655</v>
      </c>
      <c r="L98" s="61">
        <f t="shared" ref="L98:M126" si="27">SUM(D98+F98+H98)</f>
        <v>52.747905020470149</v>
      </c>
      <c r="M98" s="61">
        <f t="shared" si="27"/>
        <v>52747905.02047015</v>
      </c>
      <c r="N98" s="105">
        <f t="shared" si="17"/>
        <v>0.54447416840209728</v>
      </c>
      <c r="O98" s="105">
        <f t="shared" si="18"/>
        <v>98.249907781061054</v>
      </c>
      <c r="P98" s="105">
        <f t="shared" si="15"/>
        <v>1.2056180505368417</v>
      </c>
      <c r="Q98" s="61">
        <f t="shared" si="22"/>
        <v>1.750092218938939</v>
      </c>
      <c r="R98" s="61">
        <v>3169</v>
      </c>
      <c r="S98" s="76">
        <f t="shared" si="16"/>
        <v>60</v>
      </c>
      <c r="T98" s="61">
        <v>5.7660774327814501E-3</v>
      </c>
      <c r="U98" s="61">
        <f t="shared" si="23"/>
        <v>22.397056984801125</v>
      </c>
      <c r="V98" s="61">
        <f t="shared" si="26"/>
        <v>77.602943015198875</v>
      </c>
      <c r="W98" s="61">
        <v>57.428351243079803</v>
      </c>
      <c r="X98" s="61">
        <f t="shared" si="24"/>
        <v>29.19261508642003</v>
      </c>
      <c r="Y98" s="61">
        <f t="shared" si="25"/>
        <v>70.807384913579966</v>
      </c>
      <c r="Z98" s="61">
        <v>74.852859195948795</v>
      </c>
      <c r="AA98" s="61">
        <f t="shared" si="19"/>
        <v>97.394739187475338</v>
      </c>
      <c r="AB98" s="61">
        <f t="shared" si="20"/>
        <v>2.6052608125246621</v>
      </c>
      <c r="AC98" s="61">
        <v>249.730100480706</v>
      </c>
      <c r="AD98" s="61">
        <v>246.46912612050801</v>
      </c>
      <c r="AE98" s="61"/>
      <c r="AF98" s="66" t="s">
        <v>31</v>
      </c>
      <c r="AG98" s="66" t="s">
        <v>31</v>
      </c>
    </row>
    <row r="99" spans="1:33" ht="15.75" hidden="1" thickTop="1" x14ac:dyDescent="0.25">
      <c r="A99" s="78" t="s">
        <v>260</v>
      </c>
      <c r="B99" s="134" t="s">
        <v>517</v>
      </c>
      <c r="C99" s="134">
        <v>0</v>
      </c>
      <c r="D99" s="134">
        <v>0</v>
      </c>
      <c r="E99" s="134">
        <v>0</v>
      </c>
      <c r="F99" s="134">
        <v>32.089284937688099</v>
      </c>
      <c r="G99" s="134">
        <v>32089284.937688101</v>
      </c>
      <c r="H99" s="134">
        <v>0</v>
      </c>
      <c r="I99" s="134">
        <v>0</v>
      </c>
      <c r="J99" s="134">
        <f t="shared" si="21"/>
        <v>0</v>
      </c>
      <c r="K99" s="134">
        <f t="shared" si="21"/>
        <v>0</v>
      </c>
      <c r="L99" s="80">
        <f t="shared" si="27"/>
        <v>32.089284937688099</v>
      </c>
      <c r="M99" s="80">
        <f t="shared" si="27"/>
        <v>32089284.937688101</v>
      </c>
      <c r="N99" s="18">
        <f t="shared" si="17"/>
        <v>0</v>
      </c>
      <c r="O99" s="18">
        <f t="shared" si="18"/>
        <v>100</v>
      </c>
      <c r="P99" s="18">
        <f t="shared" si="15"/>
        <v>0</v>
      </c>
      <c r="Q99" s="80">
        <f t="shared" si="22"/>
        <v>0</v>
      </c>
      <c r="R99" s="134">
        <v>0</v>
      </c>
      <c r="S99" s="134">
        <f t="shared" si="16"/>
        <v>0</v>
      </c>
      <c r="T99" s="134"/>
      <c r="U99" s="134"/>
      <c r="V99" s="134"/>
      <c r="W99" s="134"/>
      <c r="X99" s="134"/>
      <c r="Y99" s="134"/>
      <c r="Z99" s="134"/>
      <c r="AA99" s="134">
        <f t="shared" si="19"/>
        <v>87.024087002522279</v>
      </c>
      <c r="AB99" s="134">
        <f t="shared" si="20"/>
        <v>12.975912997477721</v>
      </c>
      <c r="AC99" s="134">
        <v>223.13868462185201</v>
      </c>
      <c r="AD99" s="134">
        <v>223.30490732374901</v>
      </c>
      <c r="AE99" s="134"/>
      <c r="AF99" s="89" t="s">
        <v>26</v>
      </c>
      <c r="AG99" s="89" t="s">
        <v>26</v>
      </c>
    </row>
    <row r="100" spans="1:33" hidden="1" x14ac:dyDescent="0.25">
      <c r="A100" s="32" t="s">
        <v>260</v>
      </c>
      <c r="B100" s="40" t="s">
        <v>518</v>
      </c>
      <c r="C100" s="40">
        <v>0</v>
      </c>
      <c r="D100" s="40">
        <v>0</v>
      </c>
      <c r="E100" s="40">
        <v>0</v>
      </c>
      <c r="F100" s="40">
        <v>48.388334191875899</v>
      </c>
      <c r="G100" s="40">
        <v>48388334.191875897</v>
      </c>
      <c r="H100" s="40">
        <v>0</v>
      </c>
      <c r="I100" s="40">
        <v>0</v>
      </c>
      <c r="J100" s="40">
        <f t="shared" si="21"/>
        <v>0</v>
      </c>
      <c r="K100" s="40">
        <f t="shared" si="21"/>
        <v>0</v>
      </c>
      <c r="L100" s="34">
        <f t="shared" si="27"/>
        <v>48.388334191875899</v>
      </c>
      <c r="M100" s="34">
        <f t="shared" si="27"/>
        <v>48388334.191875897</v>
      </c>
      <c r="N100" s="34">
        <f t="shared" si="17"/>
        <v>0</v>
      </c>
      <c r="O100" s="34">
        <f t="shared" si="18"/>
        <v>100</v>
      </c>
      <c r="P100" s="34">
        <f t="shared" si="15"/>
        <v>0</v>
      </c>
      <c r="Q100" s="34">
        <f t="shared" si="22"/>
        <v>0</v>
      </c>
      <c r="R100" s="40">
        <v>0</v>
      </c>
      <c r="S100" s="40">
        <f t="shared" si="16"/>
        <v>0</v>
      </c>
      <c r="T100" s="40"/>
      <c r="U100" s="40"/>
      <c r="V100" s="40"/>
      <c r="W100" s="40"/>
      <c r="X100" s="40"/>
      <c r="Y100" s="40"/>
      <c r="Z100" s="40"/>
      <c r="AA100" s="40">
        <f t="shared" si="19"/>
        <v>88.852333618403947</v>
      </c>
      <c r="AB100" s="40">
        <f t="shared" si="20"/>
        <v>11.147666381596053</v>
      </c>
      <c r="AC100" s="40">
        <v>227.82649645744601</v>
      </c>
      <c r="AD100" s="40">
        <v>228.177792954881</v>
      </c>
      <c r="AE100" s="40"/>
      <c r="AF100" s="49" t="s">
        <v>26</v>
      </c>
      <c r="AG100" s="49" t="s">
        <v>31</v>
      </c>
    </row>
    <row r="101" spans="1:33" hidden="1" x14ac:dyDescent="0.25">
      <c r="A101" s="32" t="s">
        <v>260</v>
      </c>
      <c r="B101" s="40" t="s">
        <v>519</v>
      </c>
      <c r="C101" s="40">
        <v>0</v>
      </c>
      <c r="D101" s="40">
        <v>0</v>
      </c>
      <c r="E101" s="40">
        <v>0</v>
      </c>
      <c r="F101" s="40">
        <v>41.372427167228402</v>
      </c>
      <c r="G101" s="40">
        <v>41372427.167228401</v>
      </c>
      <c r="H101" s="40">
        <v>0</v>
      </c>
      <c r="I101" s="40">
        <v>0</v>
      </c>
      <c r="J101" s="40">
        <f t="shared" si="21"/>
        <v>0</v>
      </c>
      <c r="K101" s="40">
        <f t="shared" si="21"/>
        <v>0</v>
      </c>
      <c r="L101" s="34">
        <f t="shared" si="27"/>
        <v>41.372427167228402</v>
      </c>
      <c r="M101" s="34">
        <f t="shared" si="27"/>
        <v>41372427.167228401</v>
      </c>
      <c r="N101" s="34">
        <f t="shared" si="17"/>
        <v>0</v>
      </c>
      <c r="O101" s="34">
        <f t="shared" si="18"/>
        <v>100</v>
      </c>
      <c r="P101" s="34">
        <f t="shared" si="15"/>
        <v>0</v>
      </c>
      <c r="Q101" s="34">
        <f t="shared" si="22"/>
        <v>0</v>
      </c>
      <c r="R101" s="40">
        <v>0</v>
      </c>
      <c r="S101" s="40">
        <f t="shared" si="16"/>
        <v>0</v>
      </c>
      <c r="T101" s="40"/>
      <c r="U101" s="40"/>
      <c r="V101" s="40"/>
      <c r="W101" s="40"/>
      <c r="X101" s="40"/>
      <c r="Y101" s="40"/>
      <c r="Z101" s="40"/>
      <c r="AA101" s="40">
        <f t="shared" si="19"/>
        <v>86.245289638518273</v>
      </c>
      <c r="AB101" s="40">
        <f t="shared" si="20"/>
        <v>13.754710361481727</v>
      </c>
      <c r="AC101" s="40">
        <v>221.141768303893</v>
      </c>
      <c r="AD101" s="40">
        <v>221.49352246905201</v>
      </c>
      <c r="AE101" s="40"/>
      <c r="AF101" s="49" t="s">
        <v>26</v>
      </c>
      <c r="AG101" s="49" t="s">
        <v>31</v>
      </c>
    </row>
    <row r="102" spans="1:33" hidden="1" x14ac:dyDescent="0.25">
      <c r="A102" s="32" t="s">
        <v>260</v>
      </c>
      <c r="B102" s="40" t="s">
        <v>520</v>
      </c>
      <c r="C102" s="40">
        <v>0</v>
      </c>
      <c r="D102" s="40">
        <v>0</v>
      </c>
      <c r="E102" s="40">
        <v>0</v>
      </c>
      <c r="F102" s="40">
        <v>27.348956935796799</v>
      </c>
      <c r="G102" s="40">
        <v>27348956.935796801</v>
      </c>
      <c r="H102" s="40">
        <v>0</v>
      </c>
      <c r="I102" s="40">
        <v>0</v>
      </c>
      <c r="J102" s="40">
        <f t="shared" si="21"/>
        <v>0</v>
      </c>
      <c r="K102" s="40">
        <f t="shared" si="21"/>
        <v>0</v>
      </c>
      <c r="L102" s="34">
        <f t="shared" si="27"/>
        <v>27.348956935796799</v>
      </c>
      <c r="M102" s="34">
        <f t="shared" si="27"/>
        <v>27348956.935796801</v>
      </c>
      <c r="N102" s="34">
        <f t="shared" si="17"/>
        <v>0</v>
      </c>
      <c r="O102" s="34">
        <f t="shared" si="18"/>
        <v>100</v>
      </c>
      <c r="P102" s="34">
        <f t="shared" si="15"/>
        <v>0</v>
      </c>
      <c r="Q102" s="34">
        <f t="shared" si="22"/>
        <v>0</v>
      </c>
      <c r="R102" s="40">
        <v>0</v>
      </c>
      <c r="S102" s="40">
        <f t="shared" si="16"/>
        <v>0</v>
      </c>
      <c r="T102" s="40"/>
      <c r="U102" s="40"/>
      <c r="V102" s="40"/>
      <c r="W102" s="40"/>
      <c r="X102" s="40"/>
      <c r="Y102" s="40"/>
      <c r="Z102" s="40"/>
      <c r="AA102" s="40">
        <f t="shared" si="19"/>
        <v>88.00823216813238</v>
      </c>
      <c r="AB102" s="40">
        <f t="shared" si="20"/>
        <v>11.99176783186762</v>
      </c>
      <c r="AC102" s="40">
        <v>225.66213376444199</v>
      </c>
      <c r="AD102" s="40">
        <v>225.75330255100701</v>
      </c>
      <c r="AE102" s="40"/>
      <c r="AF102" s="49" t="s">
        <v>26</v>
      </c>
      <c r="AG102" s="49" t="s">
        <v>26</v>
      </c>
    </row>
    <row r="103" spans="1:33" hidden="1" x14ac:dyDescent="0.25">
      <c r="A103" s="32" t="s">
        <v>260</v>
      </c>
      <c r="B103" s="40" t="s">
        <v>521</v>
      </c>
      <c r="C103" s="40">
        <v>0</v>
      </c>
      <c r="D103" s="40">
        <v>0</v>
      </c>
      <c r="E103" s="40">
        <v>0</v>
      </c>
      <c r="F103" s="40">
        <v>12.8358063648709</v>
      </c>
      <c r="G103" s="40">
        <v>12835806.3648709</v>
      </c>
      <c r="H103" s="40">
        <v>0</v>
      </c>
      <c r="I103" s="40">
        <v>0</v>
      </c>
      <c r="J103" s="40">
        <f t="shared" si="21"/>
        <v>0</v>
      </c>
      <c r="K103" s="40">
        <f t="shared" si="21"/>
        <v>0</v>
      </c>
      <c r="L103" s="34">
        <f t="shared" si="27"/>
        <v>12.8358063648709</v>
      </c>
      <c r="M103" s="34">
        <f t="shared" si="27"/>
        <v>12835806.3648709</v>
      </c>
      <c r="N103" s="34">
        <f t="shared" si="17"/>
        <v>0</v>
      </c>
      <c r="O103" s="34">
        <f t="shared" si="18"/>
        <v>100</v>
      </c>
      <c r="P103" s="34">
        <f t="shared" si="15"/>
        <v>0</v>
      </c>
      <c r="Q103" s="34">
        <f t="shared" si="22"/>
        <v>0</v>
      </c>
      <c r="R103" s="40">
        <v>0</v>
      </c>
      <c r="S103" s="40">
        <f t="shared" si="16"/>
        <v>0</v>
      </c>
      <c r="T103" s="40"/>
      <c r="U103" s="40"/>
      <c r="V103" s="40"/>
      <c r="W103" s="40"/>
      <c r="X103" s="40"/>
      <c r="Y103" s="40"/>
      <c r="Z103" s="40"/>
      <c r="AA103" s="40">
        <f t="shared" si="19"/>
        <v>79.222651532100954</v>
      </c>
      <c r="AB103" s="40">
        <f t="shared" si="20"/>
        <v>20.777348467899046</v>
      </c>
      <c r="AC103" s="40">
        <v>203.13500392846399</v>
      </c>
      <c r="AD103" s="40">
        <v>203.35921732535499</v>
      </c>
      <c r="AE103" s="40"/>
      <c r="AF103" s="49" t="s">
        <v>26</v>
      </c>
      <c r="AG103" s="49" t="s">
        <v>31</v>
      </c>
    </row>
    <row r="104" spans="1:33" hidden="1" x14ac:dyDescent="0.25">
      <c r="A104" s="32" t="s">
        <v>260</v>
      </c>
      <c r="B104" s="40" t="s">
        <v>522</v>
      </c>
      <c r="C104" s="40">
        <v>0</v>
      </c>
      <c r="D104" s="40">
        <v>0</v>
      </c>
      <c r="E104" s="40">
        <v>0</v>
      </c>
      <c r="F104" s="40">
        <v>42.616256625674097</v>
      </c>
      <c r="G104" s="40">
        <v>42616256.625674099</v>
      </c>
      <c r="H104" s="40">
        <v>0</v>
      </c>
      <c r="I104" s="40">
        <v>0</v>
      </c>
      <c r="J104" s="40">
        <f t="shared" si="21"/>
        <v>0</v>
      </c>
      <c r="K104" s="40">
        <f t="shared" si="21"/>
        <v>0</v>
      </c>
      <c r="L104" s="34">
        <f t="shared" si="27"/>
        <v>42.616256625674097</v>
      </c>
      <c r="M104" s="34">
        <f t="shared" si="27"/>
        <v>42616256.625674099</v>
      </c>
      <c r="N104" s="34">
        <f t="shared" si="17"/>
        <v>0</v>
      </c>
      <c r="O104" s="34">
        <f t="shared" si="18"/>
        <v>100</v>
      </c>
      <c r="P104" s="34">
        <f t="shared" si="15"/>
        <v>0</v>
      </c>
      <c r="Q104" s="34">
        <f t="shared" si="22"/>
        <v>0</v>
      </c>
      <c r="R104" s="40">
        <v>0</v>
      </c>
      <c r="S104" s="40">
        <f t="shared" si="16"/>
        <v>0</v>
      </c>
      <c r="T104" s="40"/>
      <c r="U104" s="40"/>
      <c r="V104" s="40"/>
      <c r="W104" s="40"/>
      <c r="X104" s="40"/>
      <c r="Y104" s="40"/>
      <c r="Z104" s="40"/>
      <c r="AA104" s="40">
        <f t="shared" si="19"/>
        <v>90.607111855692906</v>
      </c>
      <c r="AB104" s="40">
        <f t="shared" si="20"/>
        <v>9.3928881443070935</v>
      </c>
      <c r="AC104" s="40">
        <v>232.32592783511001</v>
      </c>
      <c r="AD104" s="40">
        <v>232.916078526289</v>
      </c>
      <c r="AE104" s="40"/>
      <c r="AF104" s="49" t="s">
        <v>26</v>
      </c>
      <c r="AG104" s="49" t="s">
        <v>31</v>
      </c>
    </row>
    <row r="105" spans="1:33" hidden="1" x14ac:dyDescent="0.25">
      <c r="A105" s="32" t="s">
        <v>260</v>
      </c>
      <c r="B105" s="40" t="s">
        <v>523</v>
      </c>
      <c r="C105" s="40">
        <v>0</v>
      </c>
      <c r="D105" s="40">
        <v>0</v>
      </c>
      <c r="E105" s="40">
        <v>0</v>
      </c>
      <c r="F105" s="40">
        <v>27.3389276524418</v>
      </c>
      <c r="G105" s="40">
        <v>27338927.6524418</v>
      </c>
      <c r="H105" s="40">
        <v>0</v>
      </c>
      <c r="I105" s="40">
        <v>0</v>
      </c>
      <c r="J105" s="40">
        <f t="shared" si="21"/>
        <v>0</v>
      </c>
      <c r="K105" s="40">
        <f t="shared" si="21"/>
        <v>0</v>
      </c>
      <c r="L105" s="34">
        <f t="shared" si="27"/>
        <v>27.3389276524418</v>
      </c>
      <c r="M105" s="34">
        <f t="shared" si="27"/>
        <v>27338927.6524418</v>
      </c>
      <c r="N105" s="34">
        <f t="shared" si="17"/>
        <v>0</v>
      </c>
      <c r="O105" s="34">
        <f t="shared" si="18"/>
        <v>100</v>
      </c>
      <c r="P105" s="34">
        <f t="shared" si="15"/>
        <v>0</v>
      </c>
      <c r="Q105" s="34">
        <f t="shared" si="22"/>
        <v>0</v>
      </c>
      <c r="R105" s="40">
        <v>0</v>
      </c>
      <c r="S105" s="40">
        <f t="shared" si="16"/>
        <v>0</v>
      </c>
      <c r="T105" s="40"/>
      <c r="U105" s="40"/>
      <c r="V105" s="40"/>
      <c r="W105" s="40"/>
      <c r="X105" s="40"/>
      <c r="Y105" s="40"/>
      <c r="Z105" s="40"/>
      <c r="AA105" s="40">
        <f t="shared" si="19"/>
        <v>89.257211166536408</v>
      </c>
      <c r="AB105" s="40">
        <f t="shared" si="20"/>
        <v>10.742788833463592</v>
      </c>
      <c r="AC105" s="40">
        <v>228.86464401676</v>
      </c>
      <c r="AD105" s="40">
        <v>229.29411761452599</v>
      </c>
      <c r="AE105" s="40"/>
      <c r="AF105" s="49" t="s">
        <v>26</v>
      </c>
      <c r="AG105" s="49" t="s">
        <v>31</v>
      </c>
    </row>
    <row r="106" spans="1:33" ht="30" hidden="1" x14ac:dyDescent="0.25">
      <c r="A106" s="32" t="s">
        <v>260</v>
      </c>
      <c r="B106" s="40" t="s">
        <v>524</v>
      </c>
      <c r="C106" s="40">
        <v>5</v>
      </c>
      <c r="D106" s="40">
        <v>1.0518035839208499</v>
      </c>
      <c r="E106" s="40">
        <v>1051803.58392085</v>
      </c>
      <c r="F106" s="40">
        <v>31.033502662239599</v>
      </c>
      <c r="G106" s="40">
        <v>31033502.6622396</v>
      </c>
      <c r="H106" s="40">
        <v>2.2956786480794702</v>
      </c>
      <c r="I106" s="40">
        <v>2295678.6480794698</v>
      </c>
      <c r="J106" s="40">
        <f t="shared" si="21"/>
        <v>3.3474822320003201</v>
      </c>
      <c r="K106" s="40">
        <f t="shared" si="21"/>
        <v>3347482.2320003198</v>
      </c>
      <c r="L106" s="34">
        <f t="shared" si="27"/>
        <v>34.380984894239923</v>
      </c>
      <c r="M106" s="34">
        <f t="shared" si="27"/>
        <v>34380984.894239917</v>
      </c>
      <c r="N106" s="34">
        <f t="shared" si="17"/>
        <v>3.0592596086363595</v>
      </c>
      <c r="O106" s="34">
        <f t="shared" si="18"/>
        <v>90.263565042428013</v>
      </c>
      <c r="P106" s="34">
        <f t="shared" si="15"/>
        <v>6.677175348935628</v>
      </c>
      <c r="Q106" s="34">
        <f t="shared" si="22"/>
        <v>9.7364349575719871</v>
      </c>
      <c r="R106">
        <v>13839</v>
      </c>
      <c r="S106" s="40">
        <f t="shared" si="16"/>
        <v>402</v>
      </c>
      <c r="T106" s="40">
        <v>2.8164021205156998E-3</v>
      </c>
      <c r="U106" s="40">
        <f t="shared" si="23"/>
        <v>20.558769670859899</v>
      </c>
      <c r="V106" s="40">
        <f t="shared" si="26"/>
        <v>79.441230329140097</v>
      </c>
      <c r="W106" s="40">
        <v>52.714794027845898</v>
      </c>
      <c r="X106" s="40">
        <f t="shared" si="24"/>
        <v>1.5340982470661369E-3</v>
      </c>
      <c r="Y106" s="40">
        <f t="shared" si="25"/>
        <v>99.998465901752937</v>
      </c>
      <c r="Z106">
        <v>3.9335852488875302E-3</v>
      </c>
      <c r="AA106" s="40">
        <f t="shared" si="19"/>
        <v>23.006414623950967</v>
      </c>
      <c r="AB106" s="40">
        <f t="shared" si="20"/>
        <v>76.993585376049026</v>
      </c>
      <c r="AC106">
        <v>58.990806728079399</v>
      </c>
      <c r="AD106">
        <v>213.99977878095899</v>
      </c>
      <c r="AE106" s="40" t="s">
        <v>432</v>
      </c>
      <c r="AF106" s="49" t="s">
        <v>31</v>
      </c>
      <c r="AG106" s="49" t="s">
        <v>31</v>
      </c>
    </row>
    <row r="107" spans="1:33" hidden="1" x14ac:dyDescent="0.25">
      <c r="A107" s="32" t="s">
        <v>260</v>
      </c>
      <c r="B107" s="40" t="s">
        <v>525</v>
      </c>
      <c r="C107" s="40">
        <v>0</v>
      </c>
      <c r="D107" s="40">
        <v>0</v>
      </c>
      <c r="E107" s="40">
        <v>0</v>
      </c>
      <c r="F107" s="40">
        <v>35.0143416125578</v>
      </c>
      <c r="G107" s="40">
        <v>35014341.612557799</v>
      </c>
      <c r="H107" s="40">
        <v>0</v>
      </c>
      <c r="I107" s="40">
        <v>0</v>
      </c>
      <c r="J107" s="40">
        <f t="shared" si="21"/>
        <v>0</v>
      </c>
      <c r="K107" s="40">
        <f t="shared" si="21"/>
        <v>0</v>
      </c>
      <c r="L107" s="34">
        <f t="shared" si="27"/>
        <v>35.0143416125578</v>
      </c>
      <c r="M107" s="34">
        <f t="shared" si="27"/>
        <v>35014341.612557799</v>
      </c>
      <c r="N107" s="34">
        <f t="shared" si="17"/>
        <v>0</v>
      </c>
      <c r="O107" s="34">
        <f t="shared" si="18"/>
        <v>100</v>
      </c>
      <c r="P107" s="34">
        <f t="shared" si="15"/>
        <v>0</v>
      </c>
      <c r="Q107" s="34">
        <f t="shared" si="22"/>
        <v>0</v>
      </c>
      <c r="R107" s="40">
        <v>0</v>
      </c>
      <c r="S107" s="40">
        <f t="shared" si="16"/>
        <v>0</v>
      </c>
      <c r="T107" s="40"/>
      <c r="U107" s="40"/>
      <c r="V107" s="40"/>
      <c r="W107" s="40"/>
      <c r="X107" s="40"/>
      <c r="Y107" s="40"/>
      <c r="Z107" s="40"/>
      <c r="AA107" s="40">
        <f t="shared" si="19"/>
        <v>90.912640247189671</v>
      </c>
      <c r="AB107" s="40">
        <f t="shared" si="20"/>
        <v>9.0873597528103289</v>
      </c>
      <c r="AC107" s="40">
        <v>233.10933396715299</v>
      </c>
      <c r="AD107" s="40">
        <v>233.225208380608</v>
      </c>
      <c r="AE107" s="40"/>
      <c r="AF107" s="49" t="s">
        <v>26</v>
      </c>
      <c r="AG107" s="49" t="s">
        <v>31</v>
      </c>
    </row>
    <row r="108" spans="1:33" hidden="1" x14ac:dyDescent="0.25">
      <c r="A108" s="32" t="s">
        <v>260</v>
      </c>
      <c r="B108" s="40" t="s">
        <v>526</v>
      </c>
      <c r="C108" s="40">
        <v>0</v>
      </c>
      <c r="D108" s="40">
        <v>0</v>
      </c>
      <c r="E108" s="40">
        <v>0</v>
      </c>
      <c r="F108" s="40">
        <v>37.295619912956496</v>
      </c>
      <c r="G108" s="40">
        <v>37295619.912956499</v>
      </c>
      <c r="H108" s="40">
        <v>0</v>
      </c>
      <c r="I108" s="40">
        <v>0</v>
      </c>
      <c r="J108" s="40">
        <f t="shared" si="21"/>
        <v>0</v>
      </c>
      <c r="K108" s="40">
        <f t="shared" si="21"/>
        <v>0</v>
      </c>
      <c r="L108" s="34">
        <f t="shared" si="27"/>
        <v>37.295619912956496</v>
      </c>
      <c r="M108" s="34">
        <f t="shared" si="27"/>
        <v>37295619.912956499</v>
      </c>
      <c r="N108" s="34">
        <f t="shared" si="17"/>
        <v>0</v>
      </c>
      <c r="O108" s="34">
        <f t="shared" si="18"/>
        <v>100</v>
      </c>
      <c r="P108" s="34">
        <f t="shared" si="15"/>
        <v>0</v>
      </c>
      <c r="Q108" s="34">
        <f t="shared" si="22"/>
        <v>0</v>
      </c>
      <c r="R108" s="40">
        <v>0</v>
      </c>
      <c r="S108" s="40">
        <f t="shared" si="16"/>
        <v>0</v>
      </c>
      <c r="T108" s="40"/>
      <c r="U108" s="40"/>
      <c r="V108" s="40"/>
      <c r="W108" s="40"/>
      <c r="X108" s="40"/>
      <c r="Y108" s="40"/>
      <c r="Z108" s="40"/>
      <c r="AA108" s="40">
        <f t="shared" si="19"/>
        <v>94.116659039067613</v>
      </c>
      <c r="AB108" s="40">
        <f t="shared" si="20"/>
        <v>5.8833409609323866</v>
      </c>
      <c r="AC108" s="40">
        <v>241.32476676684001</v>
      </c>
      <c r="AD108" s="40">
        <v>241.460149604501</v>
      </c>
      <c r="AE108" s="40"/>
      <c r="AF108" s="49" t="s">
        <v>26</v>
      </c>
      <c r="AG108" s="49" t="s">
        <v>31</v>
      </c>
    </row>
    <row r="109" spans="1:33" hidden="1" x14ac:dyDescent="0.25">
      <c r="A109" s="32" t="s">
        <v>260</v>
      </c>
      <c r="B109" s="40" t="s">
        <v>527</v>
      </c>
      <c r="C109" s="40">
        <v>0</v>
      </c>
      <c r="D109" s="40">
        <v>0</v>
      </c>
      <c r="E109" s="40">
        <v>0</v>
      </c>
      <c r="F109" s="40">
        <v>41.739424030635298</v>
      </c>
      <c r="G109" s="40">
        <v>41739424.030635297</v>
      </c>
      <c r="H109" s="40">
        <v>0</v>
      </c>
      <c r="I109" s="40">
        <v>0</v>
      </c>
      <c r="J109" s="40">
        <f t="shared" si="21"/>
        <v>0</v>
      </c>
      <c r="K109" s="40">
        <f t="shared" si="21"/>
        <v>0</v>
      </c>
      <c r="L109" s="34">
        <f t="shared" si="27"/>
        <v>41.739424030635298</v>
      </c>
      <c r="M109" s="34">
        <f t="shared" si="27"/>
        <v>41739424.030635297</v>
      </c>
      <c r="N109" s="34">
        <f t="shared" si="17"/>
        <v>0</v>
      </c>
      <c r="O109" s="34">
        <f t="shared" si="18"/>
        <v>100</v>
      </c>
      <c r="P109" s="34">
        <f t="shared" si="15"/>
        <v>0</v>
      </c>
      <c r="Q109" s="34">
        <f t="shared" si="22"/>
        <v>0</v>
      </c>
      <c r="R109" s="40">
        <v>0</v>
      </c>
      <c r="S109" s="40">
        <f t="shared" si="16"/>
        <v>0</v>
      </c>
      <c r="T109" s="40"/>
      <c r="U109" s="40"/>
      <c r="V109" s="40"/>
      <c r="W109" s="40"/>
      <c r="X109" s="40"/>
      <c r="Y109" s="40"/>
      <c r="Z109" s="40"/>
      <c r="AA109" s="40">
        <f t="shared" si="19"/>
        <v>92.908104782409538</v>
      </c>
      <c r="AB109" s="40">
        <f t="shared" si="20"/>
        <v>7.0918952175904622</v>
      </c>
      <c r="AC109" s="40">
        <v>238.22590969848599</v>
      </c>
      <c r="AD109" s="40">
        <v>238.56818209473099</v>
      </c>
      <c r="AE109" s="40"/>
      <c r="AF109" s="49" t="s">
        <v>26</v>
      </c>
      <c r="AG109" s="49" t="s">
        <v>31</v>
      </c>
    </row>
    <row r="110" spans="1:33" ht="15.75" hidden="1" thickBot="1" x14ac:dyDescent="0.3">
      <c r="A110" s="103" t="s">
        <v>260</v>
      </c>
      <c r="B110" s="145" t="s">
        <v>528</v>
      </c>
      <c r="C110" s="145">
        <v>0</v>
      </c>
      <c r="D110" s="145">
        <v>0</v>
      </c>
      <c r="E110" s="145">
        <v>0</v>
      </c>
      <c r="F110" s="145">
        <v>24.5548315562231</v>
      </c>
      <c r="G110" s="145">
        <v>24554831.556223098</v>
      </c>
      <c r="H110" s="145">
        <v>0</v>
      </c>
      <c r="I110" s="145">
        <v>0</v>
      </c>
      <c r="J110" s="145">
        <f t="shared" si="21"/>
        <v>0</v>
      </c>
      <c r="K110" s="145">
        <f t="shared" si="21"/>
        <v>0</v>
      </c>
      <c r="L110" s="105">
        <f t="shared" si="27"/>
        <v>24.5548315562231</v>
      </c>
      <c r="M110" s="105">
        <f t="shared" si="27"/>
        <v>24554831.556223098</v>
      </c>
      <c r="N110" s="61">
        <f t="shared" si="17"/>
        <v>0</v>
      </c>
      <c r="O110" s="61">
        <f t="shared" si="18"/>
        <v>100</v>
      </c>
      <c r="P110" s="61">
        <f t="shared" si="15"/>
        <v>0</v>
      </c>
      <c r="Q110" s="105">
        <f t="shared" si="22"/>
        <v>0</v>
      </c>
      <c r="R110" s="145">
        <v>0</v>
      </c>
      <c r="S110" s="145">
        <f t="shared" si="16"/>
        <v>0</v>
      </c>
      <c r="T110" s="145"/>
      <c r="U110" s="145"/>
      <c r="V110" s="145"/>
      <c r="W110" s="145"/>
      <c r="X110" s="145"/>
      <c r="Y110" s="145"/>
      <c r="Z110" s="145"/>
      <c r="AA110" s="145">
        <f t="shared" si="19"/>
        <v>86.417562259101061</v>
      </c>
      <c r="AB110" s="145">
        <f t="shared" si="20"/>
        <v>13.582437740898939</v>
      </c>
      <c r="AC110" s="145">
        <v>221.58349297205399</v>
      </c>
      <c r="AD110" s="145">
        <v>222.02818214023199</v>
      </c>
      <c r="AE110" s="145"/>
      <c r="AF110" s="114" t="s">
        <v>26</v>
      </c>
      <c r="AG110" s="114" t="s">
        <v>31</v>
      </c>
    </row>
    <row r="111" spans="1:33" ht="15.75" hidden="1" thickTop="1" x14ac:dyDescent="0.25">
      <c r="A111" s="78" t="s">
        <v>306</v>
      </c>
      <c r="B111" s="80" t="s">
        <v>529</v>
      </c>
      <c r="C111" s="80">
        <v>0</v>
      </c>
      <c r="D111" s="80">
        <v>0</v>
      </c>
      <c r="E111" s="80">
        <v>0</v>
      </c>
      <c r="F111" s="80">
        <v>28.812845779666201</v>
      </c>
      <c r="G111" s="80">
        <v>28812845.7796662</v>
      </c>
      <c r="H111" s="80">
        <v>0</v>
      </c>
      <c r="I111" s="80">
        <v>0</v>
      </c>
      <c r="J111" s="80">
        <f t="shared" si="21"/>
        <v>0</v>
      </c>
      <c r="K111" s="80">
        <f t="shared" si="21"/>
        <v>0</v>
      </c>
      <c r="L111" s="80">
        <f t="shared" si="27"/>
        <v>28.812845779666201</v>
      </c>
      <c r="M111" s="80">
        <f t="shared" si="27"/>
        <v>28812845.7796662</v>
      </c>
      <c r="N111" s="18">
        <f t="shared" si="17"/>
        <v>0</v>
      </c>
      <c r="O111" s="18">
        <f t="shared" si="18"/>
        <v>100</v>
      </c>
      <c r="P111" s="18">
        <f t="shared" si="15"/>
        <v>0</v>
      </c>
      <c r="Q111" s="80">
        <f t="shared" si="22"/>
        <v>0</v>
      </c>
      <c r="R111" s="80">
        <v>0</v>
      </c>
      <c r="S111" s="134">
        <f t="shared" si="16"/>
        <v>0</v>
      </c>
      <c r="T111" s="80"/>
      <c r="U111" s="80"/>
      <c r="V111" s="80"/>
      <c r="W111" s="80"/>
      <c r="X111" s="80"/>
      <c r="Y111" s="80"/>
      <c r="Z111" s="80"/>
      <c r="AA111" s="80">
        <f t="shared" si="19"/>
        <v>99.419485009067344</v>
      </c>
      <c r="AB111" s="80">
        <f t="shared" si="20"/>
        <v>0.58051499093265591</v>
      </c>
      <c r="AC111" s="80">
        <v>254.921756433506</v>
      </c>
      <c r="AD111" s="80">
        <v>254.91832427310601</v>
      </c>
      <c r="AE111" s="80"/>
      <c r="AF111" s="89" t="s">
        <v>26</v>
      </c>
      <c r="AG111" s="89" t="s">
        <v>31</v>
      </c>
    </row>
    <row r="112" spans="1:33" hidden="1" x14ac:dyDescent="0.25">
      <c r="A112" s="32" t="s">
        <v>306</v>
      </c>
      <c r="B112" s="34" t="s">
        <v>530</v>
      </c>
      <c r="C112" s="34">
        <v>0</v>
      </c>
      <c r="D112" s="34">
        <v>0</v>
      </c>
      <c r="E112" s="34">
        <v>0</v>
      </c>
      <c r="F112" s="34">
        <v>47.193902896597301</v>
      </c>
      <c r="G112" s="34">
        <v>47193902.896597303</v>
      </c>
      <c r="H112" s="34">
        <v>0</v>
      </c>
      <c r="I112" s="34">
        <v>0</v>
      </c>
      <c r="J112" s="34">
        <f t="shared" si="21"/>
        <v>0</v>
      </c>
      <c r="K112" s="34">
        <f t="shared" si="21"/>
        <v>0</v>
      </c>
      <c r="L112" s="34">
        <f t="shared" si="27"/>
        <v>47.193902896597301</v>
      </c>
      <c r="M112" s="34">
        <f t="shared" si="27"/>
        <v>47193902.896597303</v>
      </c>
      <c r="N112" s="34">
        <f t="shared" si="17"/>
        <v>0</v>
      </c>
      <c r="O112" s="34">
        <f t="shared" si="18"/>
        <v>100</v>
      </c>
      <c r="P112" s="34">
        <f t="shared" si="15"/>
        <v>0</v>
      </c>
      <c r="Q112" s="34">
        <f t="shared" si="22"/>
        <v>0</v>
      </c>
      <c r="R112" s="34">
        <v>0</v>
      </c>
      <c r="S112" s="40">
        <f t="shared" si="16"/>
        <v>0</v>
      </c>
      <c r="T112" s="34"/>
      <c r="U112" s="34"/>
      <c r="V112" s="34"/>
      <c r="W112" s="34"/>
      <c r="X112" s="34"/>
      <c r="Y112" s="34"/>
      <c r="Z112" s="34"/>
      <c r="AA112" s="34">
        <f t="shared" si="19"/>
        <v>99.434247714608034</v>
      </c>
      <c r="AB112" s="34">
        <f t="shared" si="20"/>
        <v>0.56575228539196587</v>
      </c>
      <c r="AC112" s="34">
        <v>254.95960952463599</v>
      </c>
      <c r="AD112" s="34">
        <v>254.95370595142299</v>
      </c>
      <c r="AE112" s="34"/>
      <c r="AF112" s="49" t="s">
        <v>26</v>
      </c>
      <c r="AG112" s="49" t="s">
        <v>26</v>
      </c>
    </row>
    <row r="113" spans="1:33" ht="15.75" hidden="1" thickBot="1" x14ac:dyDescent="0.3">
      <c r="A113" s="103" t="s">
        <v>306</v>
      </c>
      <c r="B113" s="105" t="s">
        <v>531</v>
      </c>
      <c r="C113" s="105">
        <v>3</v>
      </c>
      <c r="D113" s="105">
        <v>2.75513069706225E-2</v>
      </c>
      <c r="E113" s="105">
        <v>27551.3069706225</v>
      </c>
      <c r="F113" s="105">
        <v>43.880670695130497</v>
      </c>
      <c r="G113" s="105">
        <v>43880670.695130497</v>
      </c>
      <c r="H113" s="105">
        <v>3.8595687549850502E-2</v>
      </c>
      <c r="I113" s="105">
        <v>38595.687549850503</v>
      </c>
      <c r="J113" s="105">
        <f t="shared" si="21"/>
        <v>6.6146994520472999E-2</v>
      </c>
      <c r="K113" s="105">
        <f t="shared" si="21"/>
        <v>66146.994520473003</v>
      </c>
      <c r="L113" s="105">
        <f t="shared" si="27"/>
        <v>43.94681768965097</v>
      </c>
      <c r="M113" s="105">
        <f t="shared" si="27"/>
        <v>43946817.689650975</v>
      </c>
      <c r="N113" s="61">
        <f t="shared" si="17"/>
        <v>6.2692382336276761E-2</v>
      </c>
      <c r="O113" s="61">
        <f t="shared" si="18"/>
        <v>99.849483994523553</v>
      </c>
      <c r="P113" s="61">
        <f t="shared" si="15"/>
        <v>8.7823623140156043E-2</v>
      </c>
      <c r="Q113" s="105">
        <f t="shared" si="22"/>
        <v>0.15051600547643279</v>
      </c>
      <c r="R113" s="105">
        <v>385</v>
      </c>
      <c r="S113" s="145">
        <f t="shared" si="16"/>
        <v>8</v>
      </c>
      <c r="T113" s="105">
        <v>1.1546587571501701E-2</v>
      </c>
      <c r="U113" s="105">
        <f t="shared" si="23"/>
        <v>22.425065866951176</v>
      </c>
      <c r="V113" s="105">
        <f t="shared" si="26"/>
        <v>77.574934133048828</v>
      </c>
      <c r="W113" s="105">
        <v>57.500168889618401</v>
      </c>
      <c r="X113" s="105">
        <f t="shared" si="24"/>
        <v>30.626608835878731</v>
      </c>
      <c r="Y113" s="105">
        <f t="shared" si="25"/>
        <v>69.373391164121273</v>
      </c>
      <c r="Z113" s="105">
        <v>78.529766245842893</v>
      </c>
      <c r="AA113" s="105">
        <f t="shared" si="19"/>
        <v>99.302369165267976</v>
      </c>
      <c r="AB113" s="105">
        <f t="shared" si="20"/>
        <v>0.69763083473202414</v>
      </c>
      <c r="AC113" s="105">
        <v>254.62145939812299</v>
      </c>
      <c r="AD113" s="105">
        <v>254.33999312778701</v>
      </c>
      <c r="AE113" s="105"/>
      <c r="AF113" s="114" t="s">
        <v>31</v>
      </c>
      <c r="AG113" s="114" t="s">
        <v>31</v>
      </c>
    </row>
    <row r="114" spans="1:33" ht="15.75" hidden="1" thickTop="1" x14ac:dyDescent="0.25">
      <c r="A114" s="15" t="s">
        <v>185</v>
      </c>
      <c r="B114" s="25" t="s">
        <v>186</v>
      </c>
      <c r="C114" s="25">
        <v>0</v>
      </c>
      <c r="D114" s="24">
        <v>0</v>
      </c>
      <c r="E114" s="24">
        <v>0</v>
      </c>
      <c r="F114" s="24">
        <v>31.8688513356329</v>
      </c>
      <c r="G114" s="24">
        <v>31868851.335632902</v>
      </c>
      <c r="H114" s="24">
        <v>0</v>
      </c>
      <c r="I114" s="24">
        <v>0</v>
      </c>
      <c r="J114" s="24">
        <f t="shared" si="21"/>
        <v>0</v>
      </c>
      <c r="K114" s="24">
        <f t="shared" si="21"/>
        <v>0</v>
      </c>
      <c r="L114" s="18">
        <f t="shared" si="27"/>
        <v>31.8688513356329</v>
      </c>
      <c r="M114" s="18">
        <f t="shared" si="27"/>
        <v>31868851.335632902</v>
      </c>
      <c r="N114" s="80">
        <f t="shared" si="17"/>
        <v>0</v>
      </c>
      <c r="O114" s="80">
        <f t="shared" si="18"/>
        <v>100</v>
      </c>
      <c r="P114" s="80">
        <f t="shared" si="15"/>
        <v>0</v>
      </c>
      <c r="Q114" s="18">
        <f t="shared" si="22"/>
        <v>0</v>
      </c>
      <c r="R114" s="24">
        <v>0</v>
      </c>
      <c r="S114" s="24">
        <f t="shared" si="16"/>
        <v>0</v>
      </c>
      <c r="T114" s="24"/>
      <c r="U114" s="24"/>
      <c r="V114" s="24"/>
      <c r="W114" s="24"/>
      <c r="X114" s="24"/>
      <c r="Y114" s="24"/>
      <c r="Z114" s="24"/>
      <c r="AA114" s="24">
        <f t="shared" si="19"/>
        <v>83.615416911576418</v>
      </c>
      <c r="AB114" s="24">
        <f t="shared" si="20"/>
        <v>16.384583088423582</v>
      </c>
      <c r="AC114" s="24">
        <v>214.39850490147799</v>
      </c>
      <c r="AD114" s="24">
        <v>214.751458820202</v>
      </c>
      <c r="AE114" s="24" t="s">
        <v>430</v>
      </c>
      <c r="AF114" s="119" t="s">
        <v>26</v>
      </c>
      <c r="AG114" s="119" t="s">
        <v>26</v>
      </c>
    </row>
    <row r="115" spans="1:33" hidden="1" x14ac:dyDescent="0.25">
      <c r="A115" s="32" t="s">
        <v>185</v>
      </c>
      <c r="B115" s="53" t="s">
        <v>532</v>
      </c>
      <c r="C115" s="53">
        <v>0</v>
      </c>
      <c r="D115" s="40">
        <v>0</v>
      </c>
      <c r="E115" s="40">
        <v>0</v>
      </c>
      <c r="F115" s="40">
        <v>38.824188320970102</v>
      </c>
      <c r="G115" s="40">
        <v>38824188.320970103</v>
      </c>
      <c r="H115" s="40">
        <v>0</v>
      </c>
      <c r="I115" s="40">
        <v>0</v>
      </c>
      <c r="J115" s="40">
        <f t="shared" si="21"/>
        <v>0</v>
      </c>
      <c r="K115" s="40">
        <f t="shared" si="21"/>
        <v>0</v>
      </c>
      <c r="L115" s="34">
        <f t="shared" si="27"/>
        <v>38.824188320970102</v>
      </c>
      <c r="M115" s="34">
        <f t="shared" si="27"/>
        <v>38824188.320970103</v>
      </c>
      <c r="N115" s="34">
        <f t="shared" si="17"/>
        <v>0</v>
      </c>
      <c r="O115" s="34">
        <f t="shared" si="18"/>
        <v>100</v>
      </c>
      <c r="P115" s="34">
        <f t="shared" si="15"/>
        <v>0</v>
      </c>
      <c r="Q115" s="34">
        <f t="shared" si="22"/>
        <v>0</v>
      </c>
      <c r="R115" s="40">
        <v>0</v>
      </c>
      <c r="S115" s="40">
        <f t="shared" si="16"/>
        <v>0</v>
      </c>
      <c r="T115" s="40"/>
      <c r="U115" s="40"/>
      <c r="V115" s="40"/>
      <c r="W115" s="40"/>
      <c r="X115" s="40"/>
      <c r="Y115" s="40"/>
      <c r="Z115" s="40"/>
      <c r="AA115" s="40">
        <f t="shared" si="19"/>
        <v>89.488431855311589</v>
      </c>
      <c r="AB115" s="40">
        <f t="shared" si="20"/>
        <v>10.511568144688411</v>
      </c>
      <c r="AC115" s="40">
        <v>229.457517577722</v>
      </c>
      <c r="AD115" s="40">
        <v>229.728036692317</v>
      </c>
      <c r="AE115" s="40"/>
      <c r="AF115" s="49" t="s">
        <v>26</v>
      </c>
      <c r="AG115" s="49" t="s">
        <v>26</v>
      </c>
    </row>
    <row r="116" spans="1:33" ht="45" hidden="1" x14ac:dyDescent="0.25">
      <c r="A116" s="32" t="s">
        <v>185</v>
      </c>
      <c r="B116" s="53" t="s">
        <v>533</v>
      </c>
      <c r="C116" s="53">
        <v>0</v>
      </c>
      <c r="D116" s="40">
        <v>0</v>
      </c>
      <c r="E116" s="40">
        <v>0</v>
      </c>
      <c r="F116" s="40">
        <v>27.2108387386285</v>
      </c>
      <c r="G116" s="40">
        <v>27210838.738628499</v>
      </c>
      <c r="H116" s="40">
        <v>0</v>
      </c>
      <c r="I116" s="40">
        <v>0</v>
      </c>
      <c r="J116" s="40">
        <f t="shared" si="21"/>
        <v>0</v>
      </c>
      <c r="K116" s="40">
        <f t="shared" si="21"/>
        <v>0</v>
      </c>
      <c r="L116" s="34">
        <f t="shared" si="27"/>
        <v>27.2108387386285</v>
      </c>
      <c r="M116" s="34">
        <f t="shared" si="27"/>
        <v>27210838.738628499</v>
      </c>
      <c r="N116" s="34">
        <f t="shared" si="17"/>
        <v>0</v>
      </c>
      <c r="O116" s="34">
        <f t="shared" si="18"/>
        <v>100</v>
      </c>
      <c r="P116" s="34">
        <f t="shared" si="15"/>
        <v>0</v>
      </c>
      <c r="Q116" s="34">
        <f t="shared" si="22"/>
        <v>0</v>
      </c>
      <c r="R116" s="40">
        <v>0</v>
      </c>
      <c r="S116" s="40">
        <f t="shared" si="16"/>
        <v>0</v>
      </c>
      <c r="T116" s="40"/>
      <c r="U116" s="40"/>
      <c r="V116" s="40"/>
      <c r="W116" s="40"/>
      <c r="X116" s="40"/>
      <c r="Y116" s="40"/>
      <c r="Z116" s="40"/>
      <c r="AA116" s="40">
        <f t="shared" si="19"/>
        <v>88.27090745197998</v>
      </c>
      <c r="AB116" s="40">
        <f t="shared" si="20"/>
        <v>11.72909254802002</v>
      </c>
      <c r="AC116" s="40">
        <v>226.335660133282</v>
      </c>
      <c r="AD116" s="40">
        <v>226.505702845873</v>
      </c>
      <c r="AE116" s="40" t="s">
        <v>534</v>
      </c>
      <c r="AF116" s="49" t="s">
        <v>26</v>
      </c>
      <c r="AG116" s="49" t="s">
        <v>26</v>
      </c>
    </row>
    <row r="117" spans="1:33" hidden="1" x14ac:dyDescent="0.25">
      <c r="A117" s="32" t="s">
        <v>185</v>
      </c>
      <c r="B117" s="53" t="s">
        <v>535</v>
      </c>
      <c r="C117" s="53">
        <v>0</v>
      </c>
      <c r="D117" s="40">
        <v>0</v>
      </c>
      <c r="E117" s="40">
        <v>0</v>
      </c>
      <c r="F117" s="40">
        <v>43.347230555087101</v>
      </c>
      <c r="G117" s="40">
        <v>43347230.555087097</v>
      </c>
      <c r="H117" s="40">
        <v>0</v>
      </c>
      <c r="I117" s="40">
        <v>0</v>
      </c>
      <c r="J117" s="40">
        <f t="shared" si="21"/>
        <v>0</v>
      </c>
      <c r="K117" s="40">
        <f t="shared" si="21"/>
        <v>0</v>
      </c>
      <c r="L117" s="34">
        <f t="shared" si="27"/>
        <v>43.347230555087101</v>
      </c>
      <c r="M117" s="34">
        <f t="shared" si="27"/>
        <v>43347230.555087097</v>
      </c>
      <c r="N117" s="34">
        <f t="shared" si="17"/>
        <v>0</v>
      </c>
      <c r="O117" s="34">
        <f t="shared" si="18"/>
        <v>100</v>
      </c>
      <c r="P117" s="34">
        <f t="shared" si="15"/>
        <v>0</v>
      </c>
      <c r="Q117" s="34">
        <f t="shared" si="22"/>
        <v>0</v>
      </c>
      <c r="R117" s="40">
        <v>0</v>
      </c>
      <c r="S117" s="40">
        <f t="shared" si="16"/>
        <v>0</v>
      </c>
      <c r="T117" s="40"/>
      <c r="U117" s="40"/>
      <c r="V117" s="40"/>
      <c r="W117" s="40"/>
      <c r="X117" s="40"/>
      <c r="Y117" s="40"/>
      <c r="Z117" s="40"/>
      <c r="AA117" s="40">
        <f t="shared" si="19"/>
        <v>83.885021951000795</v>
      </c>
      <c r="AB117" s="40">
        <f t="shared" si="20"/>
        <v>16.114978048999205</v>
      </c>
      <c r="AC117" s="40">
        <v>215.08979987436101</v>
      </c>
      <c r="AD117" s="40">
        <v>215.41423557157299</v>
      </c>
      <c r="AE117" s="40"/>
      <c r="AF117" s="49" t="s">
        <v>26</v>
      </c>
      <c r="AG117" s="49" t="s">
        <v>26</v>
      </c>
    </row>
    <row r="118" spans="1:33" hidden="1" x14ac:dyDescent="0.25">
      <c r="A118" s="32" t="s">
        <v>185</v>
      </c>
      <c r="B118" s="53" t="s">
        <v>536</v>
      </c>
      <c r="C118" s="53">
        <v>0</v>
      </c>
      <c r="D118" s="40">
        <v>0</v>
      </c>
      <c r="E118" s="40">
        <v>0</v>
      </c>
      <c r="F118" s="40">
        <v>40.159470402945402</v>
      </c>
      <c r="G118" s="40">
        <v>40159470.402945399</v>
      </c>
      <c r="H118" s="40">
        <v>0</v>
      </c>
      <c r="I118" s="40">
        <v>0</v>
      </c>
      <c r="J118" s="40">
        <f t="shared" si="21"/>
        <v>0</v>
      </c>
      <c r="K118" s="40">
        <f t="shared" si="21"/>
        <v>0</v>
      </c>
      <c r="L118" s="34">
        <f t="shared" si="27"/>
        <v>40.159470402945402</v>
      </c>
      <c r="M118" s="34">
        <f t="shared" si="27"/>
        <v>40159470.402945399</v>
      </c>
      <c r="N118" s="34">
        <f t="shared" si="17"/>
        <v>0</v>
      </c>
      <c r="O118" s="34">
        <f t="shared" si="18"/>
        <v>100</v>
      </c>
      <c r="P118" s="34">
        <f t="shared" si="15"/>
        <v>0</v>
      </c>
      <c r="Q118" s="34">
        <f t="shared" si="22"/>
        <v>0</v>
      </c>
      <c r="R118" s="40">
        <v>0</v>
      </c>
      <c r="S118" s="40">
        <f t="shared" si="16"/>
        <v>0</v>
      </c>
      <c r="T118" s="40"/>
      <c r="U118" s="40"/>
      <c r="V118" s="40"/>
      <c r="W118" s="40"/>
      <c r="X118" s="40"/>
      <c r="Y118" s="40"/>
      <c r="Z118" s="40"/>
      <c r="AA118" s="40">
        <f t="shared" si="19"/>
        <v>89.041720827396091</v>
      </c>
      <c r="AB118" s="40">
        <f t="shared" si="20"/>
        <v>10.958279172603909</v>
      </c>
      <c r="AC118" s="40">
        <v>228.312104685631</v>
      </c>
      <c r="AD118" s="40">
        <v>228.468413901085</v>
      </c>
      <c r="AE118" s="40" t="s">
        <v>537</v>
      </c>
      <c r="AF118" s="49" t="s">
        <v>26</v>
      </c>
      <c r="AG118" s="49" t="s">
        <v>26</v>
      </c>
    </row>
    <row r="119" spans="1:33" ht="15.75" hidden="1" thickBot="1" x14ac:dyDescent="0.3">
      <c r="A119" s="58" t="s">
        <v>185</v>
      </c>
      <c r="B119" s="68" t="s">
        <v>538</v>
      </c>
      <c r="C119" s="68">
        <v>0</v>
      </c>
      <c r="D119" s="76">
        <v>0</v>
      </c>
      <c r="E119" s="76">
        <v>0</v>
      </c>
      <c r="F119" s="76">
        <v>38.256484733741601</v>
      </c>
      <c r="G119" s="76">
        <v>38256484.733741596</v>
      </c>
      <c r="H119" s="76">
        <v>0</v>
      </c>
      <c r="I119" s="76">
        <v>0</v>
      </c>
      <c r="J119" s="76">
        <f t="shared" si="21"/>
        <v>0</v>
      </c>
      <c r="K119" s="76">
        <f t="shared" si="21"/>
        <v>0</v>
      </c>
      <c r="L119" s="61">
        <f t="shared" si="27"/>
        <v>38.256484733741601</v>
      </c>
      <c r="M119" s="61">
        <f t="shared" si="27"/>
        <v>38256484.733741596</v>
      </c>
      <c r="N119" s="105">
        <f t="shared" si="17"/>
        <v>0</v>
      </c>
      <c r="O119" s="105">
        <f t="shared" si="18"/>
        <v>100</v>
      </c>
      <c r="P119" s="105">
        <f t="shared" si="15"/>
        <v>0</v>
      </c>
      <c r="Q119" s="61">
        <f t="shared" si="22"/>
        <v>0</v>
      </c>
      <c r="R119" s="76">
        <v>0</v>
      </c>
      <c r="S119" s="76">
        <f t="shared" si="16"/>
        <v>0</v>
      </c>
      <c r="T119" s="76"/>
      <c r="U119" s="76"/>
      <c r="V119" s="76"/>
      <c r="W119" s="76"/>
      <c r="X119" s="76"/>
      <c r="Y119" s="76"/>
      <c r="Z119" s="76"/>
      <c r="AA119" s="76">
        <f t="shared" si="19"/>
        <v>92.030787709993092</v>
      </c>
      <c r="AB119" s="76">
        <f t="shared" si="20"/>
        <v>7.969212290006908</v>
      </c>
      <c r="AC119" s="76">
        <v>235.97637874357201</v>
      </c>
      <c r="AD119" s="76">
        <v>236.189775342541</v>
      </c>
      <c r="AE119" s="76"/>
      <c r="AF119" s="66" t="s">
        <v>26</v>
      </c>
      <c r="AG119" s="66" t="s">
        <v>31</v>
      </c>
    </row>
    <row r="120" spans="1:33" ht="15.75" hidden="1" thickTop="1" x14ac:dyDescent="0.25">
      <c r="A120" s="78" t="s">
        <v>205</v>
      </c>
      <c r="B120" s="89" t="s">
        <v>539</v>
      </c>
      <c r="C120" s="89">
        <v>5</v>
      </c>
      <c r="D120" s="80">
        <v>1.27975715214335</v>
      </c>
      <c r="E120" s="80">
        <v>1279757.1521433501</v>
      </c>
      <c r="F120" s="80">
        <v>31.677061364945299</v>
      </c>
      <c r="G120" s="80">
        <v>31677061.3649453</v>
      </c>
      <c r="H120" s="80">
        <v>1.2390722134594301</v>
      </c>
      <c r="I120" s="80">
        <v>1239072.21345943</v>
      </c>
      <c r="J120" s="80">
        <f t="shared" si="21"/>
        <v>2.5188293656027803</v>
      </c>
      <c r="K120" s="80">
        <f t="shared" si="21"/>
        <v>2518829.3656027801</v>
      </c>
      <c r="L120" s="80">
        <f t="shared" si="27"/>
        <v>34.195890730548079</v>
      </c>
      <c r="M120" s="80">
        <f t="shared" si="27"/>
        <v>34195890.730548084</v>
      </c>
      <c r="N120" s="18">
        <f t="shared" si="17"/>
        <v>3.7424296452091235</v>
      </c>
      <c r="O120" s="18">
        <f t="shared" si="18"/>
        <v>92.634116814063134</v>
      </c>
      <c r="P120" s="18">
        <f t="shared" si="15"/>
        <v>3.6234535407277293</v>
      </c>
      <c r="Q120" s="80">
        <f t="shared" si="22"/>
        <v>7.3658831859368528</v>
      </c>
      <c r="R120" s="80">
        <v>16448</v>
      </c>
      <c r="S120" s="134">
        <f t="shared" si="16"/>
        <v>480</v>
      </c>
      <c r="T120" s="80">
        <v>4.48491657152771E-3</v>
      </c>
      <c r="U120" s="80">
        <f t="shared" si="23"/>
        <v>22.474891239899204</v>
      </c>
      <c r="V120" s="80">
        <f t="shared" si="26"/>
        <v>77.525108760100792</v>
      </c>
      <c r="W120" s="80">
        <v>57.627926256151802</v>
      </c>
      <c r="X120" s="80">
        <f t="shared" si="24"/>
        <v>30.184851809653281</v>
      </c>
      <c r="Y120" s="80">
        <f t="shared" si="25"/>
        <v>69.815148190346719</v>
      </c>
      <c r="Z120" s="80">
        <v>77.397055922187903</v>
      </c>
      <c r="AA120" s="80">
        <f t="shared" si="19"/>
        <v>92.170038514812575</v>
      </c>
      <c r="AB120" s="80">
        <f t="shared" si="20"/>
        <v>7.8299614851874253</v>
      </c>
      <c r="AC120" s="80">
        <v>236.333432089263</v>
      </c>
      <c r="AD120" s="80">
        <v>224.551083176064</v>
      </c>
      <c r="AE120" s="80"/>
      <c r="AF120" s="89" t="s">
        <v>31</v>
      </c>
      <c r="AG120" s="89" t="s">
        <v>31</v>
      </c>
    </row>
    <row r="121" spans="1:33" hidden="1" x14ac:dyDescent="0.25">
      <c r="A121" s="32" t="s">
        <v>205</v>
      </c>
      <c r="B121" s="53" t="s">
        <v>540</v>
      </c>
      <c r="C121" s="53">
        <v>5</v>
      </c>
      <c r="D121" s="40">
        <v>0.62889742449236896</v>
      </c>
      <c r="E121" s="40">
        <v>628897.42449236906</v>
      </c>
      <c r="F121" s="40">
        <v>23.855653457574899</v>
      </c>
      <c r="G121" s="40">
        <v>23855653.4575749</v>
      </c>
      <c r="H121" s="40">
        <v>0.74109734412644501</v>
      </c>
      <c r="I121" s="40">
        <v>741097.34412644501</v>
      </c>
      <c r="J121" s="40">
        <f t="shared" si="21"/>
        <v>1.3699947686188141</v>
      </c>
      <c r="K121" s="40">
        <f t="shared" si="21"/>
        <v>1369994.7686188142</v>
      </c>
      <c r="L121" s="34">
        <f t="shared" si="27"/>
        <v>25.225648226193712</v>
      </c>
      <c r="M121" s="34">
        <f t="shared" si="27"/>
        <v>25225648.226193715</v>
      </c>
      <c r="N121" s="34">
        <f t="shared" si="17"/>
        <v>2.4930872691681194</v>
      </c>
      <c r="O121" s="34">
        <f t="shared" si="18"/>
        <v>94.569040381700702</v>
      </c>
      <c r="P121" s="34">
        <f t="shared" si="15"/>
        <v>2.9378723491311796</v>
      </c>
      <c r="Q121" s="34">
        <f t="shared" si="22"/>
        <v>5.4309596182992994</v>
      </c>
      <c r="R121">
        <v>7646</v>
      </c>
      <c r="S121" s="40">
        <f t="shared" si="16"/>
        <v>303</v>
      </c>
      <c r="T121" s="40">
        <v>3.1193785835057402E-3</v>
      </c>
      <c r="U121" s="40">
        <f t="shared" si="23"/>
        <v>19.467031610658879</v>
      </c>
      <c r="V121" s="40">
        <f t="shared" si="26"/>
        <v>80.532968389341121</v>
      </c>
      <c r="W121" s="40">
        <v>49.915465668356099</v>
      </c>
      <c r="X121" s="40">
        <f t="shared" si="24"/>
        <v>1.2325356015935509E-3</v>
      </c>
      <c r="Y121" s="40">
        <f t="shared" si="25"/>
        <v>99.998767464398412</v>
      </c>
      <c r="Z121">
        <v>3.16034769639372E-3</v>
      </c>
      <c r="AA121" s="40">
        <f t="shared" si="19"/>
        <v>22.017255243861928</v>
      </c>
      <c r="AB121" s="40">
        <f t="shared" si="20"/>
        <v>77.982744756138075</v>
      </c>
      <c r="AC121">
        <v>56.454500625286997</v>
      </c>
      <c r="AD121">
        <v>234.14365445887799</v>
      </c>
      <c r="AE121" s="40"/>
      <c r="AF121" s="49" t="s">
        <v>31</v>
      </c>
      <c r="AG121" s="49" t="s">
        <v>31</v>
      </c>
    </row>
    <row r="122" spans="1:33" hidden="1" x14ac:dyDescent="0.25">
      <c r="A122" s="32" t="s">
        <v>205</v>
      </c>
      <c r="B122" s="49" t="s">
        <v>541</v>
      </c>
      <c r="C122" s="49">
        <v>5</v>
      </c>
      <c r="D122" s="34">
        <v>1.1981282319312601</v>
      </c>
      <c r="E122" s="34">
        <v>1198128.2319312601</v>
      </c>
      <c r="F122" s="34">
        <v>37.006532109528301</v>
      </c>
      <c r="G122" s="34">
        <v>37006532.109528303</v>
      </c>
      <c r="H122" s="34">
        <v>1.5950234939765899</v>
      </c>
      <c r="I122" s="34">
        <v>1595023.49397659</v>
      </c>
      <c r="J122" s="34">
        <f t="shared" si="21"/>
        <v>2.7931517259078502</v>
      </c>
      <c r="K122" s="34">
        <f t="shared" si="21"/>
        <v>2793151.7259078501</v>
      </c>
      <c r="L122" s="34">
        <f t="shared" si="27"/>
        <v>39.799683835436149</v>
      </c>
      <c r="M122" s="34">
        <f t="shared" si="27"/>
        <v>39799683.835436158</v>
      </c>
      <c r="N122" s="34">
        <f t="shared" si="17"/>
        <v>3.0103963561250486</v>
      </c>
      <c r="O122" s="34">
        <f t="shared" si="18"/>
        <v>92.981975089407769</v>
      </c>
      <c r="P122" s="34">
        <f t="shared" si="15"/>
        <v>4.0076285544671597</v>
      </c>
      <c r="Q122" s="34">
        <f t="shared" si="22"/>
        <v>7.0180249105922083</v>
      </c>
      <c r="R122" s="34">
        <v>15647</v>
      </c>
      <c r="S122" s="40">
        <f t="shared" si="16"/>
        <v>393</v>
      </c>
      <c r="T122" s="34">
        <v>5.6378417648375E-3</v>
      </c>
      <c r="U122" s="34">
        <f t="shared" si="23"/>
        <v>22.548446964263025</v>
      </c>
      <c r="V122" s="34">
        <f t="shared" si="26"/>
        <v>77.451553035736978</v>
      </c>
      <c r="W122" s="34">
        <v>57.816530677597498</v>
      </c>
      <c r="X122" s="34">
        <f t="shared" si="24"/>
        <v>31.215185259794758</v>
      </c>
      <c r="Y122" s="34">
        <f t="shared" si="25"/>
        <v>68.784814740205235</v>
      </c>
      <c r="Z122" s="34">
        <v>80.0389365635763</v>
      </c>
      <c r="AA122" s="34">
        <f t="shared" si="19"/>
        <v>93.210344716821936</v>
      </c>
      <c r="AB122" s="34">
        <f t="shared" si="20"/>
        <v>6.7896552831780639</v>
      </c>
      <c r="AC122" s="34">
        <v>239.000883889287</v>
      </c>
      <c r="AD122" s="34">
        <v>227.02645037775801</v>
      </c>
      <c r="AE122" s="34" t="s">
        <v>537</v>
      </c>
      <c r="AF122" s="49" t="s">
        <v>31</v>
      </c>
      <c r="AG122" s="49" t="s">
        <v>31</v>
      </c>
    </row>
    <row r="123" spans="1:33" hidden="1" x14ac:dyDescent="0.25">
      <c r="A123" s="32" t="s">
        <v>205</v>
      </c>
      <c r="B123" s="49" t="s">
        <v>542</v>
      </c>
      <c r="C123" s="49">
        <v>5</v>
      </c>
      <c r="D123" s="34">
        <v>0.69878426145931605</v>
      </c>
      <c r="E123" s="34">
        <v>698784.26145931601</v>
      </c>
      <c r="F123" s="34">
        <v>32.555400798304802</v>
      </c>
      <c r="G123" s="34">
        <v>32555400.7983048</v>
      </c>
      <c r="H123" s="34">
        <v>1.20495706675862</v>
      </c>
      <c r="I123" s="34">
        <v>1204957.0667586201</v>
      </c>
      <c r="J123" s="34">
        <f t="shared" si="21"/>
        <v>1.9037413282179361</v>
      </c>
      <c r="K123" s="34">
        <f t="shared" si="21"/>
        <v>1903741.3282179362</v>
      </c>
      <c r="L123" s="34">
        <f t="shared" si="27"/>
        <v>34.459142126522735</v>
      </c>
      <c r="M123" s="34">
        <f t="shared" si="27"/>
        <v>34459142.126522735</v>
      </c>
      <c r="N123" s="34">
        <f t="shared" si="17"/>
        <v>2.0278631977940949</v>
      </c>
      <c r="O123" s="34">
        <f t="shared" si="18"/>
        <v>94.475366446361264</v>
      </c>
      <c r="P123" s="34">
        <f t="shared" si="15"/>
        <v>3.4967703558446424</v>
      </c>
      <c r="Q123" s="34">
        <f t="shared" si="22"/>
        <v>5.5246335536387372</v>
      </c>
      <c r="R123" s="34">
        <v>8774</v>
      </c>
      <c r="S123" s="40">
        <f t="shared" si="16"/>
        <v>254</v>
      </c>
      <c r="T123" s="34">
        <v>3.2777963206171898E-3</v>
      </c>
      <c r="U123" s="34">
        <f t="shared" si="23"/>
        <v>22.387367749650501</v>
      </c>
      <c r="V123" s="34">
        <f t="shared" si="26"/>
        <v>77.612632250349492</v>
      </c>
      <c r="W123" s="34">
        <v>57.403507050385898</v>
      </c>
      <c r="X123" s="34">
        <f t="shared" si="24"/>
        <v>26.878433979520228</v>
      </c>
      <c r="Y123" s="34">
        <f t="shared" si="25"/>
        <v>73.121566020479776</v>
      </c>
      <c r="Z123" s="34">
        <v>68.9190614859493</v>
      </c>
      <c r="AA123" s="34">
        <f t="shared" si="19"/>
        <v>94.439620813220671</v>
      </c>
      <c r="AB123" s="34">
        <f t="shared" si="20"/>
        <v>5.5603791867793291</v>
      </c>
      <c r="AC123" s="34">
        <v>242.15287388005299</v>
      </c>
      <c r="AD123" s="34">
        <v>232.614657362229</v>
      </c>
      <c r="AE123" s="34"/>
      <c r="AF123" s="49" t="s">
        <v>31</v>
      </c>
      <c r="AG123" s="49" t="s">
        <v>31</v>
      </c>
    </row>
    <row r="124" spans="1:33" hidden="1" x14ac:dyDescent="0.25">
      <c r="A124" s="32" t="s">
        <v>205</v>
      </c>
      <c r="B124" s="49" t="s">
        <v>543</v>
      </c>
      <c r="C124" s="49">
        <v>4</v>
      </c>
      <c r="D124" s="34">
        <v>0.326653121688395</v>
      </c>
      <c r="E124" s="34">
        <v>326653.12168839498</v>
      </c>
      <c r="F124" s="34">
        <v>31.094037897833601</v>
      </c>
      <c r="G124" s="34">
        <v>31094037.897833601</v>
      </c>
      <c r="H124" s="34">
        <v>0.31227224645880503</v>
      </c>
      <c r="I124" s="34">
        <v>312272.24645880499</v>
      </c>
      <c r="J124" s="34">
        <f t="shared" si="21"/>
        <v>0.63892536814720002</v>
      </c>
      <c r="K124" s="34">
        <f t="shared" si="21"/>
        <v>638925.36814719997</v>
      </c>
      <c r="L124" s="34">
        <f t="shared" si="27"/>
        <v>31.7329632659808</v>
      </c>
      <c r="M124" s="34">
        <f t="shared" si="27"/>
        <v>31732963.265980802</v>
      </c>
      <c r="N124" s="34">
        <f t="shared" si="17"/>
        <v>1.0293810853730834</v>
      </c>
      <c r="O124" s="34">
        <f t="shared" si="18"/>
        <v>97.986556241874339</v>
      </c>
      <c r="P124" s="34">
        <f t="shared" si="15"/>
        <v>0.98406267275257964</v>
      </c>
      <c r="Q124" s="34">
        <f t="shared" si="22"/>
        <v>2.0134437581256632</v>
      </c>
      <c r="R124" s="34">
        <v>3795</v>
      </c>
      <c r="S124" s="40">
        <f t="shared" si="16"/>
        <v>119</v>
      </c>
      <c r="T124" s="34">
        <v>4.9598193727433603E-3</v>
      </c>
      <c r="U124" s="34">
        <f t="shared" si="23"/>
        <v>22.217313073956468</v>
      </c>
      <c r="V124" s="34">
        <f t="shared" si="26"/>
        <v>77.782686926043539</v>
      </c>
      <c r="W124" s="34">
        <v>56.967469420401201</v>
      </c>
      <c r="X124" s="34">
        <f t="shared" si="24"/>
        <v>32.308793856875177</v>
      </c>
      <c r="Y124" s="34">
        <f t="shared" si="25"/>
        <v>67.691206143124816</v>
      </c>
      <c r="Z124" s="34">
        <v>82.843061171474801</v>
      </c>
      <c r="AA124" s="34">
        <f t="shared" si="19"/>
        <v>97.720651725606388</v>
      </c>
      <c r="AB124" s="34">
        <f t="shared" si="20"/>
        <v>2.2793482743936124</v>
      </c>
      <c r="AC124" s="34">
        <v>250.56577365540099</v>
      </c>
      <c r="AD124" s="34">
        <v>247.07322004791999</v>
      </c>
      <c r="AE124" s="34"/>
      <c r="AF124" s="49" t="s">
        <v>31</v>
      </c>
      <c r="AG124" s="49" t="s">
        <v>31</v>
      </c>
    </row>
    <row r="125" spans="1:33" hidden="1" x14ac:dyDescent="0.25">
      <c r="A125" s="32" t="s">
        <v>205</v>
      </c>
      <c r="B125" s="53" t="s">
        <v>544</v>
      </c>
      <c r="C125" s="53">
        <v>5</v>
      </c>
      <c r="D125" s="40">
        <v>0.78305476237459604</v>
      </c>
      <c r="E125" s="40">
        <v>783054.76237459597</v>
      </c>
      <c r="F125" s="40">
        <v>27.949488093317999</v>
      </c>
      <c r="G125" s="40">
        <v>27949488.093318</v>
      </c>
      <c r="H125" s="40">
        <v>1.6310037714925001</v>
      </c>
      <c r="I125" s="40">
        <v>1631003.7714925001</v>
      </c>
      <c r="J125" s="40">
        <f t="shared" si="21"/>
        <v>2.4140585338670961</v>
      </c>
      <c r="K125" s="40">
        <f t="shared" si="21"/>
        <v>2414058.5338670961</v>
      </c>
      <c r="L125" s="34">
        <f t="shared" si="27"/>
        <v>30.363546627185098</v>
      </c>
      <c r="M125" s="34">
        <f t="shared" si="27"/>
        <v>30363546.627185095</v>
      </c>
      <c r="N125" s="34">
        <f t="shared" si="17"/>
        <v>2.5789304918467963</v>
      </c>
      <c r="O125" s="34">
        <f t="shared" si="18"/>
        <v>92.049484325702124</v>
      </c>
      <c r="P125" s="34">
        <f t="shared" si="15"/>
        <v>5.3715851824510832</v>
      </c>
      <c r="Q125" s="34">
        <f t="shared" si="22"/>
        <v>7.9505156742978791</v>
      </c>
      <c r="R125">
        <v>10243</v>
      </c>
      <c r="S125" s="40">
        <f t="shared" si="16"/>
        <v>337</v>
      </c>
      <c r="T125" s="40">
        <v>2.5964537635445499E-3</v>
      </c>
      <c r="U125" s="40">
        <f t="shared" si="23"/>
        <v>18.700914109403918</v>
      </c>
      <c r="V125" s="40">
        <f t="shared" si="26"/>
        <v>81.299085890596075</v>
      </c>
      <c r="W125" s="40">
        <v>47.9510618189844</v>
      </c>
      <c r="X125" s="40">
        <f t="shared" si="24"/>
        <v>9.9183948012068778E-4</v>
      </c>
      <c r="Y125" s="40">
        <f t="shared" si="25"/>
        <v>99.999008160519878</v>
      </c>
      <c r="Z125">
        <v>2.5431781541556098E-3</v>
      </c>
      <c r="AA125" s="40">
        <f t="shared" si="19"/>
        <v>22.036622514697168</v>
      </c>
      <c r="AB125" s="40">
        <f t="shared" si="20"/>
        <v>77.963377485302829</v>
      </c>
      <c r="AC125">
        <v>56.5041602940953</v>
      </c>
      <c r="AD125">
        <v>225.62643293610199</v>
      </c>
      <c r="AE125" s="40" t="s">
        <v>430</v>
      </c>
      <c r="AF125" s="49" t="s">
        <v>31</v>
      </c>
      <c r="AG125" s="49" t="s">
        <v>31</v>
      </c>
    </row>
    <row r="126" spans="1:33" hidden="1" x14ac:dyDescent="0.25">
      <c r="A126" s="32" t="s">
        <v>205</v>
      </c>
      <c r="B126" s="49" t="s">
        <v>545</v>
      </c>
      <c r="C126" s="49">
        <v>4</v>
      </c>
      <c r="D126" s="34">
        <v>0.31513201960320403</v>
      </c>
      <c r="E126" s="34">
        <v>315132.01960320398</v>
      </c>
      <c r="F126" s="34">
        <v>25.289726710248001</v>
      </c>
      <c r="G126" s="34">
        <v>25289726.710248001</v>
      </c>
      <c r="H126" s="34">
        <v>0.49363884587764101</v>
      </c>
      <c r="I126" s="34">
        <v>493638.845877641</v>
      </c>
      <c r="J126" s="34">
        <f t="shared" si="21"/>
        <v>0.80877086548084498</v>
      </c>
      <c r="K126" s="34">
        <f t="shared" si="21"/>
        <v>808770.86548084498</v>
      </c>
      <c r="L126" s="34">
        <f t="shared" si="27"/>
        <v>26.098497575728846</v>
      </c>
      <c r="M126" s="34">
        <f t="shared" si="27"/>
        <v>26098497.575728845</v>
      </c>
      <c r="N126" s="34">
        <f t="shared" si="17"/>
        <v>1.207471881049089</v>
      </c>
      <c r="O126" s="34">
        <f t="shared" si="18"/>
        <v>96.901082665260446</v>
      </c>
      <c r="P126" s="34">
        <f t="shared" si="15"/>
        <v>1.8914454536904708</v>
      </c>
      <c r="Q126" s="34">
        <f t="shared" si="22"/>
        <v>3.0989173347395598</v>
      </c>
      <c r="R126" s="34">
        <v>3803</v>
      </c>
      <c r="S126" s="40">
        <f t="shared" si="16"/>
        <v>145</v>
      </c>
      <c r="T126" s="34">
        <v>4.5965998433530296E-3</v>
      </c>
      <c r="U126" s="34">
        <f t="shared" si="23"/>
        <v>22.228761572343224</v>
      </c>
      <c r="V126" s="34">
        <f t="shared" si="26"/>
        <v>77.771238427656783</v>
      </c>
      <c r="W126" s="34">
        <v>56.996824544469803</v>
      </c>
      <c r="X126" s="34">
        <f t="shared" si="24"/>
        <v>31.196033494600144</v>
      </c>
      <c r="Y126" s="34">
        <f t="shared" si="25"/>
        <v>68.803966505399856</v>
      </c>
      <c r="Z126" s="34">
        <v>79.9898294733337</v>
      </c>
      <c r="AA126" s="34">
        <f t="shared" si="19"/>
        <v>96.734843276369233</v>
      </c>
      <c r="AB126" s="34">
        <f t="shared" si="20"/>
        <v>3.265156723630767</v>
      </c>
      <c r="AC126" s="34">
        <v>248.03805968299801</v>
      </c>
      <c r="AD126" s="34">
        <v>242.41774366580401</v>
      </c>
      <c r="AE126" s="34"/>
      <c r="AF126" s="49" t="s">
        <v>31</v>
      </c>
      <c r="AG126" s="49" t="s">
        <v>31</v>
      </c>
    </row>
    <row r="127" spans="1:33" hidden="1" x14ac:dyDescent="0.25">
      <c r="A127" s="32" t="s">
        <v>205</v>
      </c>
      <c r="B127" s="55" t="s">
        <v>546</v>
      </c>
      <c r="C127" s="55">
        <v>0</v>
      </c>
      <c r="D127" s="39">
        <v>0</v>
      </c>
      <c r="E127" s="39">
        <v>0</v>
      </c>
      <c r="F127" s="39">
        <v>31.683449997988902</v>
      </c>
      <c r="G127" s="39">
        <v>31683449.997988898</v>
      </c>
      <c r="H127" s="39">
        <v>0</v>
      </c>
      <c r="I127" s="39">
        <v>0</v>
      </c>
      <c r="J127" s="39">
        <f t="shared" si="21"/>
        <v>0</v>
      </c>
      <c r="K127" s="39">
        <f t="shared" si="21"/>
        <v>0</v>
      </c>
      <c r="L127" s="34">
        <f t="shared" ref="L127:M135" si="28">SUM(D127+F127+H127)</f>
        <v>31.683449997988902</v>
      </c>
      <c r="M127" s="34">
        <f t="shared" si="28"/>
        <v>31683449.997988898</v>
      </c>
      <c r="N127" s="34">
        <f t="shared" si="17"/>
        <v>0</v>
      </c>
      <c r="O127" s="34">
        <f t="shared" si="18"/>
        <v>100</v>
      </c>
      <c r="P127" s="34">
        <f t="shared" si="15"/>
        <v>0</v>
      </c>
      <c r="Q127" s="34">
        <f t="shared" si="22"/>
        <v>0</v>
      </c>
      <c r="R127" s="39">
        <v>0</v>
      </c>
      <c r="S127" s="40">
        <f t="shared" si="16"/>
        <v>0</v>
      </c>
      <c r="T127" s="39"/>
      <c r="U127" s="39"/>
      <c r="V127" s="39"/>
      <c r="W127" s="39"/>
      <c r="X127" s="39"/>
      <c r="Y127" s="39"/>
      <c r="Z127" s="39"/>
      <c r="AA127" s="39">
        <f t="shared" si="19"/>
        <v>84.738649062746248</v>
      </c>
      <c r="AB127" s="39">
        <f t="shared" si="20"/>
        <v>15.261350937253752</v>
      </c>
      <c r="AC127" s="39">
        <v>217.278587340375</v>
      </c>
      <c r="AD127" s="39">
        <v>217.859638541365</v>
      </c>
      <c r="AE127" s="39" t="s">
        <v>430</v>
      </c>
      <c r="AF127" s="49" t="s">
        <v>26</v>
      </c>
      <c r="AG127" s="49" t="s">
        <v>26</v>
      </c>
    </row>
    <row r="128" spans="1:33" hidden="1" x14ac:dyDescent="0.25">
      <c r="A128" s="32" t="s">
        <v>205</v>
      </c>
      <c r="B128" s="53" t="s">
        <v>547</v>
      </c>
      <c r="C128" s="53">
        <v>0</v>
      </c>
      <c r="D128" s="40">
        <v>0</v>
      </c>
      <c r="E128" s="40">
        <v>0</v>
      </c>
      <c r="F128" s="40">
        <v>26.4446984731388</v>
      </c>
      <c r="G128" s="40">
        <v>26444698.473138802</v>
      </c>
      <c r="H128" s="40">
        <v>0</v>
      </c>
      <c r="I128" s="40">
        <v>0</v>
      </c>
      <c r="J128" s="40">
        <f t="shared" si="21"/>
        <v>0</v>
      </c>
      <c r="K128" s="40">
        <f t="shared" si="21"/>
        <v>0</v>
      </c>
      <c r="L128" s="34">
        <f t="shared" si="28"/>
        <v>26.4446984731388</v>
      </c>
      <c r="M128" s="34">
        <f t="shared" si="28"/>
        <v>26444698.473138802</v>
      </c>
      <c r="N128" s="34">
        <f t="shared" si="17"/>
        <v>0</v>
      </c>
      <c r="O128" s="34">
        <f t="shared" si="18"/>
        <v>100</v>
      </c>
      <c r="P128" s="34">
        <f t="shared" si="15"/>
        <v>0</v>
      </c>
      <c r="Q128" s="34">
        <f t="shared" si="22"/>
        <v>0</v>
      </c>
      <c r="R128" s="40">
        <v>0</v>
      </c>
      <c r="S128" s="40">
        <f t="shared" si="16"/>
        <v>0</v>
      </c>
      <c r="T128" s="40"/>
      <c r="U128" s="40"/>
      <c r="V128" s="40"/>
      <c r="W128" s="40"/>
      <c r="X128" s="40"/>
      <c r="Y128" s="40"/>
      <c r="Z128" s="40"/>
      <c r="AA128" s="40">
        <f t="shared" si="19"/>
        <v>86.619832573126715</v>
      </c>
      <c r="AB128" s="40">
        <f t="shared" si="20"/>
        <v>13.380167426873285</v>
      </c>
      <c r="AC128" s="40">
        <v>222.102134802889</v>
      </c>
      <c r="AD128" s="40">
        <v>222.61860995244299</v>
      </c>
      <c r="AE128" s="40" t="s">
        <v>430</v>
      </c>
      <c r="AF128" s="49" t="s">
        <v>26</v>
      </c>
      <c r="AG128" s="49" t="s">
        <v>31</v>
      </c>
    </row>
    <row r="129" spans="1:33" hidden="1" x14ac:dyDescent="0.25">
      <c r="A129" s="32" t="s">
        <v>205</v>
      </c>
      <c r="B129" s="53" t="s">
        <v>548</v>
      </c>
      <c r="C129" s="53">
        <v>0</v>
      </c>
      <c r="D129" s="40">
        <v>0</v>
      </c>
      <c r="E129" s="40">
        <v>0</v>
      </c>
      <c r="F129" s="40">
        <v>40.353067081113899</v>
      </c>
      <c r="G129" s="40">
        <v>40353067.081113897</v>
      </c>
      <c r="H129" s="40">
        <v>0</v>
      </c>
      <c r="I129" s="40">
        <v>0</v>
      </c>
      <c r="J129" s="40">
        <f t="shared" ref="J129:K135" si="29">SUM(H129,D129)</f>
        <v>0</v>
      </c>
      <c r="K129" s="40">
        <f t="shared" si="29"/>
        <v>0</v>
      </c>
      <c r="L129" s="34">
        <f t="shared" si="28"/>
        <v>40.353067081113899</v>
      </c>
      <c r="M129" s="34">
        <f t="shared" si="28"/>
        <v>40353067.081113897</v>
      </c>
      <c r="N129" s="34">
        <f t="shared" si="17"/>
        <v>0</v>
      </c>
      <c r="O129" s="34">
        <f t="shared" si="18"/>
        <v>100</v>
      </c>
      <c r="P129" s="34">
        <f t="shared" si="15"/>
        <v>0</v>
      </c>
      <c r="Q129" s="34">
        <f t="shared" si="22"/>
        <v>0</v>
      </c>
      <c r="R129" s="40">
        <v>0</v>
      </c>
      <c r="S129" s="40">
        <f t="shared" si="16"/>
        <v>0</v>
      </c>
      <c r="T129" s="40"/>
      <c r="U129" s="40"/>
      <c r="V129" s="40"/>
      <c r="W129" s="40"/>
      <c r="X129" s="40"/>
      <c r="Y129" s="40"/>
      <c r="Z129" s="40"/>
      <c r="AA129" s="40">
        <f t="shared" si="19"/>
        <v>87.084756186393037</v>
      </c>
      <c r="AB129" s="40">
        <f t="shared" si="20"/>
        <v>12.915243813606963</v>
      </c>
      <c r="AC129" s="40">
        <v>223.29424663177701</v>
      </c>
      <c r="AD129" s="40">
        <v>223.780497018852</v>
      </c>
      <c r="AE129" s="40"/>
      <c r="AF129" s="49" t="s">
        <v>26</v>
      </c>
      <c r="AG129" s="49" t="s">
        <v>31</v>
      </c>
    </row>
    <row r="130" spans="1:33" hidden="1" x14ac:dyDescent="0.25">
      <c r="A130" s="32" t="s">
        <v>205</v>
      </c>
      <c r="B130" s="53" t="s">
        <v>549</v>
      </c>
      <c r="C130" s="53">
        <v>0</v>
      </c>
      <c r="D130" s="40">
        <v>0</v>
      </c>
      <c r="E130" s="40">
        <v>0</v>
      </c>
      <c r="F130" s="40">
        <v>25.342434104519398</v>
      </c>
      <c r="G130" s="40">
        <v>25342434.104519401</v>
      </c>
      <c r="H130" s="40">
        <v>0</v>
      </c>
      <c r="I130" s="40">
        <v>0</v>
      </c>
      <c r="J130" s="40">
        <f t="shared" si="29"/>
        <v>0</v>
      </c>
      <c r="K130" s="40">
        <f t="shared" si="29"/>
        <v>0</v>
      </c>
      <c r="L130" s="34">
        <f t="shared" si="28"/>
        <v>25.342434104519398</v>
      </c>
      <c r="M130" s="34">
        <f t="shared" si="28"/>
        <v>25342434.104519401</v>
      </c>
      <c r="N130" s="34">
        <f t="shared" si="17"/>
        <v>0</v>
      </c>
      <c r="O130" s="34">
        <f t="shared" si="18"/>
        <v>100</v>
      </c>
      <c r="P130" s="34">
        <f t="shared" ref="P130:P135" si="30">_xlfn.PERCENTOF(I130,M130)*100</f>
        <v>0</v>
      </c>
      <c r="Q130" s="34">
        <f t="shared" si="22"/>
        <v>0</v>
      </c>
      <c r="R130" s="40">
        <v>0</v>
      </c>
      <c r="S130" s="40">
        <f t="shared" ref="S130:S135" si="31">QUOTIENT(R130,L130)</f>
        <v>0</v>
      </c>
      <c r="T130" s="40"/>
      <c r="U130" s="40"/>
      <c r="V130" s="40"/>
      <c r="W130" s="40"/>
      <c r="X130" s="40"/>
      <c r="Y130" s="40"/>
      <c r="Z130" s="40"/>
      <c r="AA130" s="40">
        <f t="shared" si="19"/>
        <v>88.040459142508865</v>
      </c>
      <c r="AB130" s="40">
        <f t="shared" si="20"/>
        <v>11.959540857491135</v>
      </c>
      <c r="AC130" s="40">
        <v>225.74476703207401</v>
      </c>
      <c r="AD130" s="40">
        <v>226.07937760025499</v>
      </c>
      <c r="AE130" s="40" t="s">
        <v>537</v>
      </c>
      <c r="AF130" s="49" t="s">
        <v>26</v>
      </c>
      <c r="AG130" s="49" t="s">
        <v>26</v>
      </c>
    </row>
    <row r="131" spans="1:33" hidden="1" x14ac:dyDescent="0.25">
      <c r="A131" s="32" t="s">
        <v>205</v>
      </c>
      <c r="B131" s="53" t="s">
        <v>550</v>
      </c>
      <c r="C131" s="53">
        <v>0</v>
      </c>
      <c r="D131" s="40">
        <v>0</v>
      </c>
      <c r="E131" s="40">
        <v>0</v>
      </c>
      <c r="F131" s="40">
        <v>41.761627850799599</v>
      </c>
      <c r="G131" s="40">
        <v>41761627.850799598</v>
      </c>
      <c r="H131" s="40">
        <v>0</v>
      </c>
      <c r="I131" s="40">
        <v>0</v>
      </c>
      <c r="J131" s="40">
        <f t="shared" si="29"/>
        <v>0</v>
      </c>
      <c r="K131" s="40">
        <f t="shared" si="29"/>
        <v>0</v>
      </c>
      <c r="L131" s="34">
        <f t="shared" si="28"/>
        <v>41.761627850799599</v>
      </c>
      <c r="M131" s="34">
        <f t="shared" si="28"/>
        <v>41761627.850799598</v>
      </c>
      <c r="N131" s="34">
        <f t="shared" ref="N131:N135" si="32">_xlfn.PERCENTOF(E131,M131)*100</f>
        <v>0</v>
      </c>
      <c r="O131" s="34">
        <f t="shared" ref="O131:O135" si="33">_xlfn.PERCENTOF(G131,M131)*100</f>
        <v>100</v>
      </c>
      <c r="P131" s="34">
        <f t="shared" si="30"/>
        <v>0</v>
      </c>
      <c r="Q131" s="34">
        <f t="shared" si="22"/>
        <v>0</v>
      </c>
      <c r="R131" s="40">
        <v>0</v>
      </c>
      <c r="S131" s="40">
        <f t="shared" si="31"/>
        <v>0</v>
      </c>
      <c r="T131" s="40"/>
      <c r="U131" s="40"/>
      <c r="V131" s="40"/>
      <c r="W131" s="40"/>
      <c r="X131" s="40"/>
      <c r="Y131" s="40"/>
      <c r="Z131" s="40"/>
      <c r="AA131" s="40">
        <f t="shared" ref="AA131:AA135" si="34">PRODUCT(0.39,AC131)</f>
        <v>84.466036027062685</v>
      </c>
      <c r="AB131" s="40">
        <f t="shared" ref="AB131:AB135" si="35">100-AA131</f>
        <v>15.533963972937315</v>
      </c>
      <c r="AC131" s="40">
        <v>216.57957955657099</v>
      </c>
      <c r="AD131" s="40">
        <v>216.89711957298999</v>
      </c>
      <c r="AE131" s="40"/>
      <c r="AF131" s="49" t="s">
        <v>26</v>
      </c>
      <c r="AG131" s="49" t="s">
        <v>31</v>
      </c>
    </row>
    <row r="132" spans="1:33" ht="15.75" hidden="1" thickBot="1" x14ac:dyDescent="0.3">
      <c r="A132" s="103" t="s">
        <v>205</v>
      </c>
      <c r="B132" s="142" t="s">
        <v>551</v>
      </c>
      <c r="C132" s="142">
        <v>0</v>
      </c>
      <c r="D132" s="145">
        <v>0</v>
      </c>
      <c r="E132" s="145">
        <v>0</v>
      </c>
      <c r="F132" s="145">
        <v>42.211558619049796</v>
      </c>
      <c r="G132" s="145">
        <v>42211558.619049802</v>
      </c>
      <c r="H132" s="145">
        <v>0</v>
      </c>
      <c r="I132" s="145">
        <v>0</v>
      </c>
      <c r="J132" s="145">
        <f t="shared" si="29"/>
        <v>0</v>
      </c>
      <c r="K132" s="145">
        <f t="shared" si="29"/>
        <v>0</v>
      </c>
      <c r="L132" s="105">
        <f t="shared" si="28"/>
        <v>42.211558619049796</v>
      </c>
      <c r="M132" s="105">
        <f t="shared" si="28"/>
        <v>42211558.619049802</v>
      </c>
      <c r="N132" s="61">
        <f t="shared" si="32"/>
        <v>0</v>
      </c>
      <c r="O132" s="61">
        <f t="shared" si="33"/>
        <v>100</v>
      </c>
      <c r="P132" s="61">
        <f t="shared" si="30"/>
        <v>0</v>
      </c>
      <c r="Q132" s="34">
        <f t="shared" ref="Q132:Q135" si="36">SUM(N132,P132)</f>
        <v>0</v>
      </c>
      <c r="R132" s="145">
        <v>0</v>
      </c>
      <c r="S132" s="145">
        <f t="shared" si="31"/>
        <v>0</v>
      </c>
      <c r="T132" s="145"/>
      <c r="U132" s="145"/>
      <c r="V132" s="145"/>
      <c r="W132" s="145"/>
      <c r="X132" s="145"/>
      <c r="Y132" s="145"/>
      <c r="Z132" s="145"/>
      <c r="AA132" s="145">
        <f t="shared" si="34"/>
        <v>95.190656213724239</v>
      </c>
      <c r="AB132" s="145">
        <f t="shared" si="35"/>
        <v>4.8093437862757611</v>
      </c>
      <c r="AC132" s="145">
        <v>244.078605676216</v>
      </c>
      <c r="AD132" s="145">
        <v>244.25871873165201</v>
      </c>
      <c r="AE132" s="145"/>
      <c r="AF132" s="114" t="s">
        <v>26</v>
      </c>
      <c r="AG132" s="114" t="s">
        <v>26</v>
      </c>
    </row>
    <row r="133" spans="1:33" ht="16.5" hidden="1" thickTop="1" thickBot="1" x14ac:dyDescent="0.3">
      <c r="A133" s="188" t="s">
        <v>552</v>
      </c>
      <c r="B133" s="191" t="s">
        <v>553</v>
      </c>
      <c r="C133" s="191">
        <v>4</v>
      </c>
      <c r="D133" s="196">
        <v>7.0665587412740594E-2</v>
      </c>
      <c r="E133" s="196">
        <v>70665.587412740599</v>
      </c>
      <c r="F133" s="196">
        <v>27.2881106553032</v>
      </c>
      <c r="G133" s="196">
        <v>27288110.655303199</v>
      </c>
      <c r="H133" s="196">
        <v>0.140702158289015</v>
      </c>
      <c r="I133" s="196">
        <v>140702.158289015</v>
      </c>
      <c r="J133" s="196">
        <f t="shared" si="29"/>
        <v>0.21136774570175559</v>
      </c>
      <c r="K133" s="196">
        <f t="shared" si="29"/>
        <v>211367.7457017556</v>
      </c>
      <c r="L133" s="196">
        <f t="shared" si="28"/>
        <v>27.499478401004957</v>
      </c>
      <c r="M133" s="196">
        <f t="shared" si="28"/>
        <v>27499478.401004955</v>
      </c>
      <c r="N133" s="215">
        <f t="shared" si="32"/>
        <v>0.2569706464329089</v>
      </c>
      <c r="O133" s="215">
        <f t="shared" si="33"/>
        <v>99.231375436946351</v>
      </c>
      <c r="P133" s="215">
        <f t="shared" si="30"/>
        <v>0.51165391662073534</v>
      </c>
      <c r="Q133" s="105">
        <f t="shared" si="36"/>
        <v>0.76862456305364424</v>
      </c>
      <c r="R133" s="196">
        <v>1142</v>
      </c>
      <c r="S133" s="272">
        <f t="shared" si="31"/>
        <v>41</v>
      </c>
      <c r="T133" s="196">
        <v>3.2772198319435098E-3</v>
      </c>
      <c r="U133" s="196">
        <f t="shared" ref="U133:U135" si="37">PRODUCT(0.39,W133)</f>
        <v>23.87738158851279</v>
      </c>
      <c r="V133" s="196">
        <f t="shared" ref="V133:V135" si="38">100-U133</f>
        <v>76.12261841148721</v>
      </c>
      <c r="W133" s="196">
        <v>61.224055355160999</v>
      </c>
      <c r="X133" s="196">
        <f t="shared" ref="X133:X135" si="39">PRODUCT(0.39,Z133)</f>
        <v>33.052157399505582</v>
      </c>
      <c r="Y133" s="196">
        <f t="shared" ref="Y133:Y135" si="40">100-X133</f>
        <v>66.947842600494425</v>
      </c>
      <c r="Z133" s="196">
        <v>84.749121537193801</v>
      </c>
      <c r="AA133" s="196">
        <f t="shared" si="34"/>
        <v>96.337841072866766</v>
      </c>
      <c r="AB133" s="196">
        <f t="shared" si="35"/>
        <v>3.662158927133234</v>
      </c>
      <c r="AC133" s="196">
        <v>247.020105315043</v>
      </c>
      <c r="AD133" s="196">
        <v>245.77792596938801</v>
      </c>
      <c r="AE133" s="196" t="s">
        <v>443</v>
      </c>
      <c r="AF133" s="191" t="s">
        <v>31</v>
      </c>
      <c r="AG133" s="191" t="s">
        <v>31</v>
      </c>
    </row>
    <row r="134" spans="1:33" ht="16.5" hidden="1" thickTop="1" thickBot="1" x14ac:dyDescent="0.3">
      <c r="A134" s="220" t="s">
        <v>89</v>
      </c>
      <c r="B134" s="226" t="s">
        <v>554</v>
      </c>
      <c r="C134" s="226">
        <v>0</v>
      </c>
      <c r="D134" s="226">
        <v>0</v>
      </c>
      <c r="E134" s="226">
        <v>0</v>
      </c>
      <c r="F134" s="226">
        <v>33.260772451204303</v>
      </c>
      <c r="G134" s="226">
        <v>33260772.4512043</v>
      </c>
      <c r="H134" s="226">
        <v>0</v>
      </c>
      <c r="I134" s="226">
        <v>0</v>
      </c>
      <c r="J134" s="226">
        <f t="shared" si="29"/>
        <v>0</v>
      </c>
      <c r="K134" s="226">
        <f t="shared" si="29"/>
        <v>0</v>
      </c>
      <c r="L134" s="215">
        <f t="shared" si="28"/>
        <v>33.260772451204303</v>
      </c>
      <c r="M134" s="215">
        <f t="shared" si="28"/>
        <v>33260772.4512043</v>
      </c>
      <c r="N134" s="196">
        <f t="shared" si="32"/>
        <v>0</v>
      </c>
      <c r="O134" s="196">
        <f t="shared" si="33"/>
        <v>100</v>
      </c>
      <c r="P134" s="196">
        <f t="shared" si="30"/>
        <v>0</v>
      </c>
      <c r="Q134" s="196">
        <f t="shared" si="36"/>
        <v>0</v>
      </c>
      <c r="R134" s="226">
        <v>0</v>
      </c>
      <c r="S134" s="273">
        <f t="shared" si="31"/>
        <v>0</v>
      </c>
      <c r="T134" s="226"/>
      <c r="U134" s="226"/>
      <c r="V134" s="226"/>
      <c r="W134" s="226"/>
      <c r="X134" s="226"/>
      <c r="Y134" s="226"/>
      <c r="Z134" s="226"/>
      <c r="AA134" s="226">
        <f t="shared" si="34"/>
        <v>89.116017172310706</v>
      </c>
      <c r="AB134" s="226">
        <f t="shared" si="35"/>
        <v>10.883982827689294</v>
      </c>
      <c r="AC134" s="226">
        <v>228.50260813413001</v>
      </c>
      <c r="AD134" s="226">
        <v>228.569112679044</v>
      </c>
      <c r="AE134" s="226"/>
      <c r="AF134" s="169" t="s">
        <v>26</v>
      </c>
      <c r="AG134" s="169" t="s">
        <v>26</v>
      </c>
    </row>
    <row r="135" spans="1:33" ht="16.5" hidden="1" thickTop="1" thickBot="1" x14ac:dyDescent="0.3">
      <c r="A135" s="188" t="s">
        <v>555</v>
      </c>
      <c r="B135" s="196" t="s">
        <v>556</v>
      </c>
      <c r="C135" s="196">
        <v>5</v>
      </c>
      <c r="D135" s="196">
        <v>0.76402324012842004</v>
      </c>
      <c r="E135" s="196">
        <v>764023.24012841994</v>
      </c>
      <c r="F135" s="196">
        <v>33.687613910853401</v>
      </c>
      <c r="G135" s="196">
        <v>33687613.910853401</v>
      </c>
      <c r="H135" s="196">
        <v>2.0744331832967</v>
      </c>
      <c r="I135" s="196">
        <v>2074433.1832967</v>
      </c>
      <c r="J135" s="196">
        <f t="shared" si="29"/>
        <v>2.8384564234251202</v>
      </c>
      <c r="K135" s="196">
        <f t="shared" si="29"/>
        <v>2838456.4234251198</v>
      </c>
      <c r="L135" s="196">
        <f t="shared" si="28"/>
        <v>36.526070334278515</v>
      </c>
      <c r="M135" s="196">
        <f t="shared" si="28"/>
        <v>36526070.334278524</v>
      </c>
      <c r="N135" s="215">
        <f t="shared" si="32"/>
        <v>2.0917203332749681</v>
      </c>
      <c r="O135" s="215">
        <f t="shared" si="33"/>
        <v>92.228957570720866</v>
      </c>
      <c r="P135" s="215">
        <f t="shared" si="30"/>
        <v>5.6793220960041584</v>
      </c>
      <c r="Q135" s="215">
        <f t="shared" si="36"/>
        <v>7.7710424292791265</v>
      </c>
      <c r="R135" s="196">
        <v>7994</v>
      </c>
      <c r="S135" s="272">
        <f t="shared" si="31"/>
        <v>218</v>
      </c>
      <c r="T135" s="196">
        <v>2.6215447578579101E-3</v>
      </c>
      <c r="U135" s="196">
        <f t="shared" si="37"/>
        <v>22.716244150040652</v>
      </c>
      <c r="V135" s="196">
        <f t="shared" si="38"/>
        <v>77.283755849959348</v>
      </c>
      <c r="W135" s="196">
        <v>58.246779871899101</v>
      </c>
      <c r="X135" s="196">
        <f t="shared" si="39"/>
        <v>26.379880038174743</v>
      </c>
      <c r="Y135" s="196">
        <f t="shared" si="40"/>
        <v>73.620119961825253</v>
      </c>
      <c r="Z135" s="196">
        <v>67.640718046601904</v>
      </c>
      <c r="AA135" s="196">
        <f t="shared" si="34"/>
        <v>92.13606905091109</v>
      </c>
      <c r="AB135" s="196">
        <f t="shared" si="35"/>
        <v>7.8639309490889104</v>
      </c>
      <c r="AC135" s="196">
        <v>236.246330899772</v>
      </c>
      <c r="AD135" s="196">
        <v>223.02705714346101</v>
      </c>
      <c r="AE135" s="196" t="s">
        <v>557</v>
      </c>
      <c r="AF135" s="191" t="s">
        <v>31</v>
      </c>
      <c r="AG135" s="191" t="s">
        <v>31</v>
      </c>
    </row>
    <row r="136" spans="1:33" x14ac:dyDescent="0.25">
      <c r="AF136" s="277"/>
      <c r="AG136" s="277"/>
    </row>
  </sheetData>
  <autoFilter ref="A1:AG135" xr:uid="{8AA7EA51-F1D2-4953-AEA3-99CD75339BE8}">
    <filterColumn colId="1">
      <filters>
        <filter val="L21_107_05_1"/>
      </filters>
    </filterColumn>
  </autoFilter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BF15-2989-45AA-9120-3EB5C83B5713}">
  <dimension ref="A1:AQ136"/>
  <sheetViews>
    <sheetView zoomScale="85" zoomScaleNormal="85" workbookViewId="0">
      <selection activeCell="AQ1" sqref="AQ1"/>
    </sheetView>
  </sheetViews>
  <sheetFormatPr defaultColWidth="8.7109375" defaultRowHeight="15" x14ac:dyDescent="0.25"/>
  <cols>
    <col min="1" max="1" width="13.5703125" customWidth="1"/>
    <col min="8" max="8" width="13.28515625" customWidth="1"/>
    <col min="9" max="9" width="13.5703125" customWidth="1"/>
    <col min="11" max="11" width="13" customWidth="1"/>
    <col min="17" max="17" width="10.42578125" customWidth="1"/>
    <col min="20" max="20" width="9.85546875" bestFit="1" customWidth="1"/>
    <col min="21" max="21" width="9.140625" bestFit="1" customWidth="1"/>
    <col min="23" max="23" width="10.85546875" customWidth="1"/>
    <col min="24" max="24" width="11.28515625" customWidth="1"/>
    <col min="27" max="28" width="9.5703125" customWidth="1"/>
    <col min="43" max="43" width="10.85546875"/>
  </cols>
  <sheetData>
    <row r="1" spans="1:43" ht="105.75" thickBot="1" x14ac:dyDescent="0.3">
      <c r="A1" s="7" t="s">
        <v>0</v>
      </c>
      <c r="B1" s="7" t="s">
        <v>1</v>
      </c>
      <c r="C1" s="7" t="s">
        <v>558</v>
      </c>
      <c r="D1" s="7" t="s">
        <v>559</v>
      </c>
      <c r="E1" s="8" t="s">
        <v>428</v>
      </c>
      <c r="F1" s="8" t="s">
        <v>429</v>
      </c>
      <c r="G1" s="9" t="s">
        <v>560</v>
      </c>
      <c r="H1" s="10" t="s">
        <v>561</v>
      </c>
      <c r="I1" s="9" t="s">
        <v>562</v>
      </c>
      <c r="J1" s="10" t="s">
        <v>563</v>
      </c>
      <c r="K1" s="10" t="s">
        <v>564</v>
      </c>
      <c r="L1" s="10" t="s">
        <v>565</v>
      </c>
      <c r="M1" s="10" t="s">
        <v>566</v>
      </c>
      <c r="N1" s="10" t="s">
        <v>567</v>
      </c>
      <c r="O1" s="10" t="s">
        <v>568</v>
      </c>
      <c r="P1" s="11" t="s">
        <v>569</v>
      </c>
      <c r="Q1" s="12" t="s">
        <v>11</v>
      </c>
      <c r="R1" s="12" t="s">
        <v>570</v>
      </c>
      <c r="S1" s="12" t="s">
        <v>571</v>
      </c>
      <c r="T1" s="12" t="s">
        <v>12</v>
      </c>
      <c r="U1" s="12" t="s">
        <v>571</v>
      </c>
      <c r="V1" s="13" t="s">
        <v>572</v>
      </c>
      <c r="W1" s="13" t="s">
        <v>573</v>
      </c>
      <c r="X1" s="13" t="s">
        <v>573</v>
      </c>
      <c r="Y1" s="13" t="s">
        <v>574</v>
      </c>
      <c r="Z1" s="14" t="s">
        <v>14</v>
      </c>
      <c r="AA1" s="14" t="s">
        <v>575</v>
      </c>
      <c r="AB1" s="14" t="s">
        <v>15</v>
      </c>
      <c r="AC1" s="14"/>
      <c r="AD1" s="13" t="s">
        <v>576</v>
      </c>
      <c r="AE1" s="13" t="s">
        <v>577</v>
      </c>
      <c r="AF1" s="13" t="s">
        <v>578</v>
      </c>
      <c r="AG1" s="13" t="s">
        <v>579</v>
      </c>
      <c r="AH1" s="13" t="s">
        <v>580</v>
      </c>
      <c r="AI1" s="13" t="s">
        <v>581</v>
      </c>
      <c r="AJ1" s="12" t="s">
        <v>17</v>
      </c>
      <c r="AK1" s="12" t="s">
        <v>18</v>
      </c>
      <c r="AL1" s="12" t="s">
        <v>20</v>
      </c>
      <c r="AM1" s="12" t="s">
        <v>582</v>
      </c>
      <c r="AN1" s="12" t="s">
        <v>398</v>
      </c>
      <c r="AO1" s="12" t="s">
        <v>399</v>
      </c>
      <c r="AP1" s="12" t="s">
        <v>583</v>
      </c>
      <c r="AQ1" s="282" t="s">
        <v>413</v>
      </c>
    </row>
    <row r="2" spans="1:43" ht="15" customHeight="1" thickTop="1" x14ac:dyDescent="0.25">
      <c r="A2" s="15" t="s">
        <v>132</v>
      </c>
      <c r="B2" s="15" t="s">
        <v>133</v>
      </c>
      <c r="C2" s="15" t="s">
        <v>584</v>
      </c>
      <c r="D2" s="15" t="s">
        <v>584</v>
      </c>
      <c r="E2" s="16" t="s">
        <v>26</v>
      </c>
      <c r="F2" s="17" t="s">
        <v>31</v>
      </c>
      <c r="G2" s="18" t="s">
        <v>61</v>
      </c>
      <c r="H2" s="18" t="s">
        <v>585</v>
      </c>
      <c r="I2" s="18" t="s">
        <v>586</v>
      </c>
      <c r="J2" s="19">
        <v>44461</v>
      </c>
      <c r="K2" s="20">
        <v>44466</v>
      </c>
      <c r="L2" s="18" t="s">
        <v>66</v>
      </c>
      <c r="M2" s="20">
        <v>44490</v>
      </c>
      <c r="N2" s="21">
        <f>_xlfn.DAYS(M2,K2)</f>
        <v>24</v>
      </c>
      <c r="O2" s="18">
        <v>1</v>
      </c>
      <c r="P2" s="22"/>
      <c r="Q2" s="18" t="s">
        <v>587</v>
      </c>
      <c r="R2" s="18" t="s">
        <v>588</v>
      </c>
      <c r="S2" s="18">
        <f>LOG10(T2)</f>
        <v>3.6989700043360187</v>
      </c>
      <c r="T2" s="23">
        <v>5000</v>
      </c>
      <c r="U2" s="23">
        <f>LOG10(T2)</f>
        <v>3.6989700043360187</v>
      </c>
      <c r="V2" s="24">
        <v>1</v>
      </c>
      <c r="W2" s="25">
        <v>0</v>
      </c>
      <c r="X2" s="25">
        <v>0</v>
      </c>
      <c r="Y2" s="24">
        <v>0</v>
      </c>
      <c r="Z2" s="26">
        <v>10216792</v>
      </c>
      <c r="AA2" s="26">
        <f>LOG10(Z2)</f>
        <v>7.0093145518255904</v>
      </c>
      <c r="AB2" s="27"/>
      <c r="AC2" s="27"/>
      <c r="AD2" s="26">
        <v>130311256.7886536</v>
      </c>
      <c r="AE2" s="26">
        <f>LOG10(AD2)</f>
        <v>8.1149819333644277</v>
      </c>
      <c r="AF2" s="28">
        <v>0</v>
      </c>
      <c r="AG2" s="26">
        <v>0</v>
      </c>
      <c r="AH2" s="29">
        <v>2.0606978403536118</v>
      </c>
      <c r="AI2" s="30">
        <f>LOG10(AH2)</f>
        <v>0.31401431594833051</v>
      </c>
      <c r="AJ2" s="24" t="s">
        <v>29</v>
      </c>
      <c r="AK2" s="24">
        <v>5</v>
      </c>
      <c r="AL2" s="24" t="s">
        <v>30</v>
      </c>
      <c r="AM2" s="31"/>
      <c r="AN2" s="24" t="s">
        <v>132</v>
      </c>
      <c r="AO2" s="24">
        <v>0</v>
      </c>
      <c r="AP2" s="24">
        <v>1</v>
      </c>
      <c r="AQ2" s="18">
        <f>SUM(AN2,AP2)</f>
        <v>1</v>
      </c>
    </row>
    <row r="3" spans="1:43" ht="15" customHeight="1" x14ac:dyDescent="0.25">
      <c r="A3" s="32" t="s">
        <v>134</v>
      </c>
      <c r="B3" s="32" t="s">
        <v>133</v>
      </c>
      <c r="C3" s="32" t="s">
        <v>589</v>
      </c>
      <c r="D3" s="32" t="s">
        <v>584</v>
      </c>
      <c r="E3" s="33" t="s">
        <v>31</v>
      </c>
      <c r="F3" s="33" t="s">
        <v>31</v>
      </c>
      <c r="G3" s="34" t="s">
        <v>61</v>
      </c>
      <c r="H3" s="34" t="s">
        <v>585</v>
      </c>
      <c r="I3" s="34" t="s">
        <v>586</v>
      </c>
      <c r="J3" s="35">
        <v>44461</v>
      </c>
      <c r="K3" s="36">
        <v>44466</v>
      </c>
      <c r="L3" s="34" t="s">
        <v>66</v>
      </c>
      <c r="M3" s="36">
        <v>44490</v>
      </c>
      <c r="N3" s="37">
        <f t="shared" ref="N3:N66" si="0">_xlfn.DAYS(M3,K3)</f>
        <v>24</v>
      </c>
      <c r="O3" s="34">
        <v>1</v>
      </c>
      <c r="P3" s="38"/>
      <c r="Q3" s="34" t="s">
        <v>587</v>
      </c>
      <c r="R3" s="34" t="s">
        <v>588</v>
      </c>
      <c r="S3" s="34">
        <f t="shared" ref="S3:S66" si="1">LOG10(T3)</f>
        <v>3.6989700043360187</v>
      </c>
      <c r="T3" s="39">
        <v>5000</v>
      </c>
      <c r="U3" s="39">
        <f t="shared" ref="U3:U66" si="2">LOG10(T3)</f>
        <v>3.6989700043360187</v>
      </c>
      <c r="V3" s="40">
        <v>9</v>
      </c>
      <c r="W3" s="41">
        <v>2</v>
      </c>
      <c r="X3" s="42" t="s">
        <v>590</v>
      </c>
      <c r="Y3" s="40">
        <v>1</v>
      </c>
      <c r="Z3" s="43">
        <v>29294200</v>
      </c>
      <c r="AA3" s="43">
        <f t="shared" ref="AA3:AA65" si="3">LOG10(Z3)</f>
        <v>7.4667816422879092</v>
      </c>
      <c r="AB3" s="44"/>
      <c r="AC3" s="44"/>
      <c r="AD3" s="43">
        <v>45800000000</v>
      </c>
      <c r="AE3" s="43">
        <f t="shared" ref="AE3:AE66" si="4">LOG10(AD3)</f>
        <v>10.660865478003869</v>
      </c>
      <c r="AF3" s="45">
        <v>33500000</v>
      </c>
      <c r="AG3" s="43">
        <f t="shared" ref="AG3:AG63" si="5">LOG10(AF3)</f>
        <v>7.5250448070368456</v>
      </c>
      <c r="AH3" s="46">
        <v>3.3424226808222062</v>
      </c>
      <c r="AI3" s="43">
        <f>LOG10(AH3)</f>
        <v>0.52406136965708927</v>
      </c>
      <c r="AJ3" s="40" t="s">
        <v>29</v>
      </c>
      <c r="AK3" s="40">
        <v>5</v>
      </c>
      <c r="AL3" s="40" t="s">
        <v>30</v>
      </c>
      <c r="AM3" s="47"/>
      <c r="AN3" s="40" t="s">
        <v>134</v>
      </c>
      <c r="AO3" s="40">
        <v>5</v>
      </c>
      <c r="AP3" s="40">
        <v>4</v>
      </c>
      <c r="AQ3" s="34">
        <f>SUM(AN3,AP3)</f>
        <v>4</v>
      </c>
    </row>
    <row r="4" spans="1:43" ht="15" customHeight="1" x14ac:dyDescent="0.25">
      <c r="A4" s="32" t="s">
        <v>135</v>
      </c>
      <c r="B4" s="32" t="s">
        <v>133</v>
      </c>
      <c r="C4" s="32" t="s">
        <v>584</v>
      </c>
      <c r="D4" s="32" t="s">
        <v>584</v>
      </c>
      <c r="E4" s="48" t="s">
        <v>26</v>
      </c>
      <c r="F4" s="33" t="s">
        <v>31</v>
      </c>
      <c r="G4" s="34" t="s">
        <v>61</v>
      </c>
      <c r="H4" s="34" t="s">
        <v>585</v>
      </c>
      <c r="I4" s="34" t="s">
        <v>591</v>
      </c>
      <c r="J4" s="35">
        <v>44461</v>
      </c>
      <c r="K4" s="36">
        <v>44466</v>
      </c>
      <c r="L4" s="34" t="s">
        <v>66</v>
      </c>
      <c r="M4" s="36">
        <v>44490</v>
      </c>
      <c r="N4" s="37">
        <f t="shared" si="0"/>
        <v>24</v>
      </c>
      <c r="O4" s="34">
        <v>1</v>
      </c>
      <c r="P4" s="38"/>
      <c r="Q4" s="34" t="s">
        <v>136</v>
      </c>
      <c r="R4" s="34" t="s">
        <v>588</v>
      </c>
      <c r="S4" s="34">
        <f t="shared" si="1"/>
        <v>3.6990568545476679</v>
      </c>
      <c r="T4" s="39">
        <v>5001</v>
      </c>
      <c r="U4" s="39">
        <f t="shared" si="2"/>
        <v>3.6990568545476679</v>
      </c>
      <c r="V4" s="34">
        <v>25</v>
      </c>
      <c r="W4" s="49">
        <v>0</v>
      </c>
      <c r="X4" s="49">
        <v>0</v>
      </c>
      <c r="Y4" s="40">
        <v>0</v>
      </c>
      <c r="Z4" s="39">
        <v>178000000</v>
      </c>
      <c r="AA4" s="39">
        <f t="shared" si="3"/>
        <v>8.2504200023088945</v>
      </c>
      <c r="AB4" s="50"/>
      <c r="AC4" s="50"/>
      <c r="AD4" s="39">
        <v>12200000</v>
      </c>
      <c r="AE4" s="39">
        <f t="shared" si="4"/>
        <v>7.0863598306747484</v>
      </c>
      <c r="AF4" s="39">
        <v>400</v>
      </c>
      <c r="AG4" s="39">
        <f t="shared" si="5"/>
        <v>2.6020599913279625</v>
      </c>
      <c r="AH4" s="51">
        <v>4.3891660843645326</v>
      </c>
      <c r="AI4" s="43">
        <f t="shared" ref="AI4:AI7" si="6">LOG10(AH4)</f>
        <v>0.64238201469285505</v>
      </c>
      <c r="AJ4" s="40" t="s">
        <v>60</v>
      </c>
      <c r="AK4" s="40">
        <v>5</v>
      </c>
      <c r="AL4" s="34" t="s">
        <v>30</v>
      </c>
      <c r="AM4" s="52"/>
      <c r="AN4" s="34" t="s">
        <v>135</v>
      </c>
      <c r="AO4" s="34">
        <v>0</v>
      </c>
      <c r="AP4" s="34">
        <v>4</v>
      </c>
      <c r="AQ4" s="34">
        <f t="shared" ref="AQ4:AQ33" si="7">SUM(AN4,AP4)</f>
        <v>4</v>
      </c>
    </row>
    <row r="5" spans="1:43" ht="15" customHeight="1" x14ac:dyDescent="0.25">
      <c r="A5" s="32" t="s">
        <v>137</v>
      </c>
      <c r="B5" s="32" t="s">
        <v>133</v>
      </c>
      <c r="C5" s="32" t="s">
        <v>584</v>
      </c>
      <c r="D5" s="32" t="s">
        <v>584</v>
      </c>
      <c r="E5" s="48" t="s">
        <v>26</v>
      </c>
      <c r="F5" s="48" t="s">
        <v>26</v>
      </c>
      <c r="G5" s="34" t="s">
        <v>61</v>
      </c>
      <c r="H5" s="34" t="s">
        <v>585</v>
      </c>
      <c r="I5" s="34" t="s">
        <v>591</v>
      </c>
      <c r="J5" s="35">
        <v>44461</v>
      </c>
      <c r="K5" s="36">
        <v>44466</v>
      </c>
      <c r="L5" s="34" t="s">
        <v>66</v>
      </c>
      <c r="M5" s="36">
        <v>44490</v>
      </c>
      <c r="N5" s="37">
        <f t="shared" si="0"/>
        <v>24</v>
      </c>
      <c r="O5" s="34">
        <v>1</v>
      </c>
      <c r="P5" s="38"/>
      <c r="Q5" s="34" t="s">
        <v>136</v>
      </c>
      <c r="R5" s="34" t="s">
        <v>588</v>
      </c>
      <c r="S5" s="34">
        <f t="shared" si="1"/>
        <v>3.6989700043360187</v>
      </c>
      <c r="T5" s="39">
        <v>5000</v>
      </c>
      <c r="U5" s="39">
        <f t="shared" si="2"/>
        <v>3.6989700043360187</v>
      </c>
      <c r="V5" s="40">
        <v>4</v>
      </c>
      <c r="W5" s="53">
        <v>0</v>
      </c>
      <c r="X5" s="53">
        <v>0</v>
      </c>
      <c r="Y5" s="40">
        <v>0</v>
      </c>
      <c r="Z5" s="43">
        <v>72387640</v>
      </c>
      <c r="AA5" s="43">
        <f t="shared" si="3"/>
        <v>7.8596644178815946</v>
      </c>
      <c r="AB5" s="44"/>
      <c r="AC5" s="44"/>
      <c r="AD5" s="43">
        <v>4480000</v>
      </c>
      <c r="AE5" s="43">
        <f t="shared" si="4"/>
        <v>6.6512780139981444</v>
      </c>
      <c r="AF5" s="45">
        <v>0</v>
      </c>
      <c r="AG5" s="43">
        <v>0</v>
      </c>
      <c r="AH5" s="54">
        <v>3.3891660843645326</v>
      </c>
      <c r="AI5" s="43">
        <f t="shared" si="6"/>
        <v>0.53009285173961573</v>
      </c>
      <c r="AJ5" s="40" t="s">
        <v>29</v>
      </c>
      <c r="AK5" s="40">
        <v>5</v>
      </c>
      <c r="AL5" s="40" t="s">
        <v>30</v>
      </c>
      <c r="AM5" s="47"/>
      <c r="AN5" s="40" t="s">
        <v>137</v>
      </c>
      <c r="AO5" s="40">
        <v>0</v>
      </c>
      <c r="AP5" s="40">
        <v>0</v>
      </c>
      <c r="AQ5" s="34">
        <f t="shared" si="7"/>
        <v>0</v>
      </c>
    </row>
    <row r="6" spans="1:43" ht="15" customHeight="1" x14ac:dyDescent="0.25">
      <c r="A6" s="32" t="s">
        <v>138</v>
      </c>
      <c r="B6" s="32" t="s">
        <v>133</v>
      </c>
      <c r="C6" s="32" t="s">
        <v>589</v>
      </c>
      <c r="D6" s="32" t="s">
        <v>584</v>
      </c>
      <c r="E6" s="33" t="s">
        <v>31</v>
      </c>
      <c r="F6" s="33" t="s">
        <v>31</v>
      </c>
      <c r="G6" s="34" t="s">
        <v>61</v>
      </c>
      <c r="H6" s="34" t="s">
        <v>585</v>
      </c>
      <c r="I6" s="34" t="s">
        <v>591</v>
      </c>
      <c r="J6" s="35">
        <v>44461</v>
      </c>
      <c r="K6" s="36">
        <v>44466</v>
      </c>
      <c r="L6" s="34" t="s">
        <v>66</v>
      </c>
      <c r="M6" s="36">
        <v>44490</v>
      </c>
      <c r="N6" s="37">
        <f t="shared" si="0"/>
        <v>24</v>
      </c>
      <c r="O6" s="34">
        <v>1</v>
      </c>
      <c r="P6" s="38"/>
      <c r="Q6" s="34" t="s">
        <v>592</v>
      </c>
      <c r="R6" s="34" t="s">
        <v>588</v>
      </c>
      <c r="S6" s="34">
        <f t="shared" si="1"/>
        <v>3.6989700043360187</v>
      </c>
      <c r="T6" s="55">
        <v>5000</v>
      </c>
      <c r="U6" s="55">
        <f t="shared" si="2"/>
        <v>3.6989700043360187</v>
      </c>
      <c r="V6" s="53">
        <v>16</v>
      </c>
      <c r="W6" s="41">
        <v>1</v>
      </c>
      <c r="X6" s="42" t="s">
        <v>593</v>
      </c>
      <c r="Y6" s="53">
        <v>0</v>
      </c>
      <c r="Z6" s="56">
        <v>9194268</v>
      </c>
      <c r="AA6" s="56">
        <f t="shared" si="3"/>
        <v>6.9635171586730271</v>
      </c>
      <c r="AB6" s="44"/>
      <c r="AC6" s="44"/>
      <c r="AD6" s="43">
        <v>4030887400</v>
      </c>
      <c r="AE6" s="43">
        <f t="shared" si="4"/>
        <v>9.6054006666120753</v>
      </c>
      <c r="AF6" s="45">
        <v>2000</v>
      </c>
      <c r="AG6" s="43">
        <f t="shared" si="5"/>
        <v>3.3010299956639813</v>
      </c>
      <c r="AH6" s="57">
        <v>3.4983105537896004</v>
      </c>
      <c r="AI6" s="43">
        <f t="shared" si="6"/>
        <v>0.54385836026287693</v>
      </c>
      <c r="AJ6" s="40" t="s">
        <v>60</v>
      </c>
      <c r="AK6" s="40">
        <v>5</v>
      </c>
      <c r="AL6" s="40" t="s">
        <v>30</v>
      </c>
      <c r="AM6" s="47"/>
      <c r="AN6" s="40" t="s">
        <v>138</v>
      </c>
      <c r="AO6" s="40">
        <v>3</v>
      </c>
      <c r="AP6" s="40">
        <v>3</v>
      </c>
      <c r="AQ6" s="34">
        <f t="shared" si="7"/>
        <v>3</v>
      </c>
    </row>
    <row r="7" spans="1:43" ht="15" customHeight="1" x14ac:dyDescent="0.25">
      <c r="A7" s="32" t="s">
        <v>140</v>
      </c>
      <c r="B7" s="32" t="s">
        <v>133</v>
      </c>
      <c r="C7" s="32" t="s">
        <v>589</v>
      </c>
      <c r="D7" s="32" t="s">
        <v>584</v>
      </c>
      <c r="E7" s="33" t="s">
        <v>31</v>
      </c>
      <c r="F7" s="33" t="s">
        <v>31</v>
      </c>
      <c r="G7" s="34" t="s">
        <v>61</v>
      </c>
      <c r="H7" s="34" t="s">
        <v>585</v>
      </c>
      <c r="I7" s="34" t="s">
        <v>591</v>
      </c>
      <c r="J7" s="35">
        <v>44461</v>
      </c>
      <c r="K7" s="36">
        <v>44466</v>
      </c>
      <c r="L7" s="34" t="s">
        <v>66</v>
      </c>
      <c r="M7" s="36">
        <v>44490</v>
      </c>
      <c r="N7" s="37">
        <f t="shared" si="0"/>
        <v>24</v>
      </c>
      <c r="O7" s="34">
        <v>1</v>
      </c>
      <c r="P7" s="38"/>
      <c r="Q7" s="34" t="s">
        <v>141</v>
      </c>
      <c r="R7" s="34" t="s">
        <v>588</v>
      </c>
      <c r="S7" s="49">
        <f t="shared" si="1"/>
        <v>3.6989700043360187</v>
      </c>
      <c r="T7" s="55">
        <v>5000</v>
      </c>
      <c r="U7" s="55">
        <f t="shared" si="2"/>
        <v>3.6989700043360187</v>
      </c>
      <c r="V7" s="53">
        <v>16</v>
      </c>
      <c r="W7" s="41">
        <v>1</v>
      </c>
      <c r="X7" s="42" t="s">
        <v>594</v>
      </c>
      <c r="Y7" s="53">
        <v>1</v>
      </c>
      <c r="Z7" s="56">
        <v>1578099000</v>
      </c>
      <c r="AA7" s="56">
        <f t="shared" si="3"/>
        <v>9.1981342446307259</v>
      </c>
      <c r="AB7" s="44"/>
      <c r="AC7" s="44"/>
      <c r="AD7" s="43">
        <v>9658729200</v>
      </c>
      <c r="AE7" s="43">
        <f t="shared" si="4"/>
        <v>9.9849199900042223</v>
      </c>
      <c r="AF7" s="45">
        <v>2750</v>
      </c>
      <c r="AG7" s="43">
        <f t="shared" si="5"/>
        <v>3.4393326938302629</v>
      </c>
      <c r="AH7" s="54">
        <v>3.3521825181113627</v>
      </c>
      <c r="AI7" s="43">
        <f t="shared" si="6"/>
        <v>0.52532765687072003</v>
      </c>
      <c r="AJ7" s="40" t="s">
        <v>29</v>
      </c>
      <c r="AK7" s="40">
        <v>5</v>
      </c>
      <c r="AL7" s="40" t="s">
        <v>30</v>
      </c>
      <c r="AM7" s="47"/>
      <c r="AN7" s="40" t="s">
        <v>140</v>
      </c>
      <c r="AO7" s="40">
        <v>5</v>
      </c>
      <c r="AP7" s="40">
        <v>3</v>
      </c>
      <c r="AQ7" s="34">
        <f t="shared" si="7"/>
        <v>3</v>
      </c>
    </row>
    <row r="8" spans="1:43" ht="15" customHeight="1" x14ac:dyDescent="0.25">
      <c r="A8" s="32" t="s">
        <v>142</v>
      </c>
      <c r="B8" s="32" t="s">
        <v>133</v>
      </c>
      <c r="C8" s="32" t="s">
        <v>584</v>
      </c>
      <c r="D8" s="32" t="s">
        <v>584</v>
      </c>
      <c r="E8" s="48" t="s">
        <v>26</v>
      </c>
      <c r="F8" s="48" t="s">
        <v>26</v>
      </c>
      <c r="G8" s="34" t="s">
        <v>61</v>
      </c>
      <c r="H8" s="34" t="s">
        <v>585</v>
      </c>
      <c r="I8" s="34" t="s">
        <v>591</v>
      </c>
      <c r="J8" s="35">
        <v>44461</v>
      </c>
      <c r="K8" s="36">
        <v>44466</v>
      </c>
      <c r="L8" s="34" t="s">
        <v>66</v>
      </c>
      <c r="M8" s="36">
        <v>44490</v>
      </c>
      <c r="N8" s="37">
        <f t="shared" si="0"/>
        <v>24</v>
      </c>
      <c r="O8" s="34">
        <v>1</v>
      </c>
      <c r="P8" s="38"/>
      <c r="Q8" s="34" t="s">
        <v>141</v>
      </c>
      <c r="R8" s="34" t="s">
        <v>588</v>
      </c>
      <c r="S8" s="49">
        <f t="shared" si="1"/>
        <v>3.6989700043360187</v>
      </c>
      <c r="T8" s="55">
        <v>5000</v>
      </c>
      <c r="U8" s="55">
        <f t="shared" si="2"/>
        <v>3.6989700043360187</v>
      </c>
      <c r="V8" s="53">
        <v>2</v>
      </c>
      <c r="W8" s="53">
        <v>0</v>
      </c>
      <c r="X8" s="53">
        <v>0</v>
      </c>
      <c r="Y8" s="53">
        <v>0</v>
      </c>
      <c r="Z8" s="56">
        <v>566437.4</v>
      </c>
      <c r="AA8" s="56">
        <f t="shared" si="3"/>
        <v>5.7531519206658022</v>
      </c>
      <c r="AB8" s="44"/>
      <c r="AC8" s="44"/>
      <c r="AD8" s="43">
        <v>15087357.999999998</v>
      </c>
      <c r="AE8" s="43">
        <f t="shared" si="4"/>
        <v>7.1786131956086932</v>
      </c>
      <c r="AF8" s="45">
        <v>0</v>
      </c>
      <c r="AG8" s="43">
        <v>0</v>
      </c>
      <c r="AH8" s="46">
        <v>0</v>
      </c>
      <c r="AI8" s="43">
        <v>0</v>
      </c>
      <c r="AJ8" s="40" t="s">
        <v>29</v>
      </c>
      <c r="AK8" s="40">
        <v>5</v>
      </c>
      <c r="AL8" s="40" t="s">
        <v>30</v>
      </c>
      <c r="AM8" s="47"/>
      <c r="AN8" s="40" t="s">
        <v>142</v>
      </c>
      <c r="AO8" s="40">
        <v>0</v>
      </c>
      <c r="AP8" s="40">
        <v>0</v>
      </c>
      <c r="AQ8" s="34">
        <f t="shared" si="7"/>
        <v>0</v>
      </c>
    </row>
    <row r="9" spans="1:43" ht="15" customHeight="1" x14ac:dyDescent="0.25">
      <c r="A9" s="32" t="s">
        <v>143</v>
      </c>
      <c r="B9" s="32" t="s">
        <v>133</v>
      </c>
      <c r="C9" s="32" t="s">
        <v>589</v>
      </c>
      <c r="D9" s="32" t="s">
        <v>584</v>
      </c>
      <c r="E9" s="33" t="s">
        <v>31</v>
      </c>
      <c r="F9" s="33" t="s">
        <v>31</v>
      </c>
      <c r="G9" s="34" t="s">
        <v>61</v>
      </c>
      <c r="H9" s="34" t="s">
        <v>585</v>
      </c>
      <c r="I9" s="34" t="s">
        <v>591</v>
      </c>
      <c r="J9" s="35">
        <v>44461</v>
      </c>
      <c r="K9" s="36">
        <v>44466</v>
      </c>
      <c r="L9" s="34" t="s">
        <v>66</v>
      </c>
      <c r="M9" s="36">
        <v>44490</v>
      </c>
      <c r="N9" s="37">
        <f t="shared" si="0"/>
        <v>24</v>
      </c>
      <c r="O9" s="34">
        <v>1</v>
      </c>
      <c r="P9" s="38"/>
      <c r="Q9" s="34" t="s">
        <v>144</v>
      </c>
      <c r="R9" s="34" t="s">
        <v>588</v>
      </c>
      <c r="S9" s="49">
        <f t="shared" si="1"/>
        <v>3.6989700043360187</v>
      </c>
      <c r="T9" s="55">
        <v>5000</v>
      </c>
      <c r="U9" s="55">
        <f t="shared" si="2"/>
        <v>3.6989700043360187</v>
      </c>
      <c r="V9" s="53">
        <v>26</v>
      </c>
      <c r="W9" s="41">
        <v>1</v>
      </c>
      <c r="X9" s="42" t="s">
        <v>595</v>
      </c>
      <c r="Y9" s="53">
        <v>0</v>
      </c>
      <c r="Z9" s="56">
        <v>49038980</v>
      </c>
      <c r="AA9" s="56">
        <f t="shared" si="3"/>
        <v>7.6905414283745825</v>
      </c>
      <c r="AB9" s="44"/>
      <c r="AC9" s="44"/>
      <c r="AD9" s="39">
        <v>14907308400</v>
      </c>
      <c r="AE9" s="39">
        <f t="shared" si="4"/>
        <v>10.173399236172566</v>
      </c>
      <c r="AF9" s="45">
        <v>600</v>
      </c>
      <c r="AG9" s="43">
        <f t="shared" si="5"/>
        <v>2.7781512503836434</v>
      </c>
      <c r="AH9" s="46">
        <v>2.2174839442139063</v>
      </c>
      <c r="AI9" s="43">
        <f>LOG10(AH9)</f>
        <v>0.34586048398762104</v>
      </c>
      <c r="AJ9" s="40" t="s">
        <v>29</v>
      </c>
      <c r="AK9" s="40">
        <v>5</v>
      </c>
      <c r="AL9" s="40" t="s">
        <v>30</v>
      </c>
      <c r="AM9" s="47"/>
      <c r="AN9" s="40" t="s">
        <v>143</v>
      </c>
      <c r="AO9" s="40">
        <v>3</v>
      </c>
      <c r="AP9" s="40">
        <v>3</v>
      </c>
      <c r="AQ9" s="34">
        <f t="shared" si="7"/>
        <v>3</v>
      </c>
    </row>
    <row r="10" spans="1:43" ht="15" customHeight="1" thickBot="1" x14ac:dyDescent="0.3">
      <c r="A10" s="58" t="s">
        <v>145</v>
      </c>
      <c r="B10" s="58" t="s">
        <v>133</v>
      </c>
      <c r="C10" s="58" t="s">
        <v>584</v>
      </c>
      <c r="D10" s="58" t="s">
        <v>584</v>
      </c>
      <c r="E10" s="59" t="s">
        <v>26</v>
      </c>
      <c r="F10" s="60" t="s">
        <v>31</v>
      </c>
      <c r="G10" s="61" t="s">
        <v>61</v>
      </c>
      <c r="H10" s="61" t="s">
        <v>585</v>
      </c>
      <c r="I10" s="61" t="s">
        <v>591</v>
      </c>
      <c r="J10" s="62">
        <v>44461</v>
      </c>
      <c r="K10" s="63">
        <v>44466</v>
      </c>
      <c r="L10" s="61" t="s">
        <v>66</v>
      </c>
      <c r="M10" s="63">
        <v>44490</v>
      </c>
      <c r="N10" s="64">
        <f t="shared" si="0"/>
        <v>24</v>
      </c>
      <c r="O10" s="61">
        <v>1</v>
      </c>
      <c r="P10" s="65"/>
      <c r="Q10" s="61" t="s">
        <v>144</v>
      </c>
      <c r="R10" s="61" t="s">
        <v>588</v>
      </c>
      <c r="S10" s="66">
        <f t="shared" si="1"/>
        <v>3.6989700043360187</v>
      </c>
      <c r="T10" s="67">
        <v>5000</v>
      </c>
      <c r="U10" s="67">
        <f t="shared" si="2"/>
        <v>3.6989700043360187</v>
      </c>
      <c r="V10" s="68">
        <v>24</v>
      </c>
      <c r="W10" s="68">
        <v>0</v>
      </c>
      <c r="X10" s="68">
        <v>0</v>
      </c>
      <c r="Y10" s="68">
        <v>0</v>
      </c>
      <c r="Z10" s="69">
        <v>18737640</v>
      </c>
      <c r="AA10" s="69">
        <f t="shared" si="3"/>
        <v>7.2727148907396089</v>
      </c>
      <c r="AB10" s="70"/>
      <c r="AC10" s="70"/>
      <c r="AD10" s="71">
        <v>144142040</v>
      </c>
      <c r="AE10" s="71">
        <f t="shared" si="4"/>
        <v>8.1587906642092953</v>
      </c>
      <c r="AF10" s="72">
        <v>0</v>
      </c>
      <c r="AG10" s="73">
        <v>0</v>
      </c>
      <c r="AH10" s="74">
        <v>2.1303337684950061</v>
      </c>
      <c r="AI10" s="75">
        <f t="shared" ref="AI10:AI11" si="8">LOG10(AH10)</f>
        <v>0.3284476515419088</v>
      </c>
      <c r="AJ10" s="76" t="s">
        <v>29</v>
      </c>
      <c r="AK10" s="76">
        <v>5</v>
      </c>
      <c r="AL10" s="76" t="s">
        <v>30</v>
      </c>
      <c r="AM10" s="77"/>
      <c r="AN10" s="76" t="s">
        <v>145</v>
      </c>
      <c r="AO10" s="76">
        <v>0</v>
      </c>
      <c r="AP10" s="76">
        <v>2</v>
      </c>
      <c r="AQ10" s="61">
        <f t="shared" si="7"/>
        <v>2</v>
      </c>
    </row>
    <row r="11" spans="1:43" ht="15" customHeight="1" thickTop="1" x14ac:dyDescent="0.25">
      <c r="A11" s="78" t="s">
        <v>433</v>
      </c>
      <c r="B11" s="78" t="s">
        <v>147</v>
      </c>
      <c r="C11" s="78" t="s">
        <v>589</v>
      </c>
      <c r="D11" s="78" t="s">
        <v>584</v>
      </c>
      <c r="E11" s="79" t="s">
        <v>31</v>
      </c>
      <c r="F11" s="79" t="s">
        <v>31</v>
      </c>
      <c r="G11" s="80" t="s">
        <v>61</v>
      </c>
      <c r="H11" s="80" t="s">
        <v>596</v>
      </c>
      <c r="I11" s="80" t="s">
        <v>597</v>
      </c>
      <c r="J11" s="81">
        <v>44461</v>
      </c>
      <c r="K11" s="82">
        <v>44468</v>
      </c>
      <c r="L11" s="83" t="s">
        <v>66</v>
      </c>
      <c r="M11" s="82">
        <v>44504</v>
      </c>
      <c r="N11" s="84">
        <f t="shared" si="0"/>
        <v>36</v>
      </c>
      <c r="O11" s="83">
        <v>1</v>
      </c>
      <c r="P11" s="85" t="s">
        <v>598</v>
      </c>
      <c r="Q11" s="86" t="s">
        <v>587</v>
      </c>
      <c r="R11" s="86" t="s">
        <v>588</v>
      </c>
      <c r="S11" s="87">
        <f t="shared" si="1"/>
        <v>3.6989700043360187</v>
      </c>
      <c r="T11" s="88">
        <v>5000</v>
      </c>
      <c r="U11" s="88">
        <f t="shared" si="2"/>
        <v>3.6989700043360187</v>
      </c>
      <c r="V11" s="89">
        <v>16</v>
      </c>
      <c r="W11" s="90">
        <v>3</v>
      </c>
      <c r="X11" s="91" t="s">
        <v>599</v>
      </c>
      <c r="Y11" s="89">
        <v>0</v>
      </c>
      <c r="Z11" s="92">
        <v>2.3010299999999999</v>
      </c>
      <c r="AA11" s="92">
        <f t="shared" si="3"/>
        <v>0.36192228088051825</v>
      </c>
      <c r="AB11" s="92">
        <v>6.4951088719399603</v>
      </c>
      <c r="AC11" s="92">
        <f>LOG10(AB11)</f>
        <v>0.81258643517601803</v>
      </c>
      <c r="AD11" s="86">
        <v>6.1441000199999998</v>
      </c>
      <c r="AE11" s="86">
        <f t="shared" si="4"/>
        <v>0.78845827697471094</v>
      </c>
      <c r="AF11" s="93"/>
      <c r="AG11" s="93"/>
      <c r="AH11" s="94">
        <v>3.1139433523068369</v>
      </c>
      <c r="AI11" s="26">
        <f t="shared" si="8"/>
        <v>0.49331070778113001</v>
      </c>
      <c r="AJ11" s="80" t="s">
        <v>60</v>
      </c>
      <c r="AK11" s="80">
        <v>35</v>
      </c>
      <c r="AL11" s="80" t="s">
        <v>30</v>
      </c>
      <c r="AM11" s="95"/>
      <c r="AN11" s="80" t="s">
        <v>433</v>
      </c>
      <c r="AO11" s="80">
        <v>5</v>
      </c>
      <c r="AP11" s="80">
        <v>1</v>
      </c>
      <c r="AQ11" s="80">
        <f t="shared" si="7"/>
        <v>1</v>
      </c>
    </row>
    <row r="12" spans="1:43" ht="15" customHeight="1" x14ac:dyDescent="0.25">
      <c r="A12" s="32" t="s">
        <v>434</v>
      </c>
      <c r="B12" s="32" t="s">
        <v>147</v>
      </c>
      <c r="C12" s="32" t="s">
        <v>584</v>
      </c>
      <c r="D12" s="32" t="s">
        <v>584</v>
      </c>
      <c r="E12" s="48" t="s">
        <v>26</v>
      </c>
      <c r="F12" s="48" t="s">
        <v>26</v>
      </c>
      <c r="G12" s="34" t="s">
        <v>61</v>
      </c>
      <c r="H12" s="34" t="s">
        <v>596</v>
      </c>
      <c r="I12" s="34" t="s">
        <v>597</v>
      </c>
      <c r="J12" s="35">
        <v>44461</v>
      </c>
      <c r="K12" s="36">
        <v>44487</v>
      </c>
      <c r="L12" s="96" t="s">
        <v>66</v>
      </c>
      <c r="M12" s="36">
        <v>44504</v>
      </c>
      <c r="N12" s="37">
        <f t="shared" si="0"/>
        <v>17</v>
      </c>
      <c r="O12" s="34">
        <v>1</v>
      </c>
      <c r="P12" s="97"/>
      <c r="Q12" s="98" t="s">
        <v>587</v>
      </c>
      <c r="R12" s="98" t="s">
        <v>588</v>
      </c>
      <c r="S12" s="99">
        <f t="shared" si="1"/>
        <v>3.6989700043360187</v>
      </c>
      <c r="T12" s="55">
        <v>5000</v>
      </c>
      <c r="U12" s="55">
        <f t="shared" si="2"/>
        <v>3.6989700043360187</v>
      </c>
      <c r="V12" s="49">
        <v>11</v>
      </c>
      <c r="W12" s="49">
        <v>0</v>
      </c>
      <c r="X12" s="49">
        <v>0</v>
      </c>
      <c r="Y12" s="49">
        <v>0</v>
      </c>
      <c r="Z12" s="100">
        <v>6.7974003099999996</v>
      </c>
      <c r="AA12" s="100">
        <f t="shared" si="3"/>
        <v>0.83234284698636696</v>
      </c>
      <c r="AB12" s="100">
        <v>7.9650422280862303</v>
      </c>
      <c r="AC12" s="92">
        <f>LOG10(AB12)</f>
        <v>0.90118808263259487</v>
      </c>
      <c r="AD12" s="98">
        <v>2.3010299999999999</v>
      </c>
      <c r="AE12" s="98">
        <f t="shared" si="4"/>
        <v>0.36192228088051825</v>
      </c>
      <c r="AF12" s="100">
        <v>0</v>
      </c>
      <c r="AG12" s="100">
        <v>0</v>
      </c>
      <c r="AH12" s="100">
        <v>0</v>
      </c>
      <c r="AI12" s="100">
        <v>0</v>
      </c>
      <c r="AJ12" s="34" t="s">
        <v>60</v>
      </c>
      <c r="AK12" s="34">
        <v>26</v>
      </c>
      <c r="AL12" s="34" t="s">
        <v>30</v>
      </c>
      <c r="AM12" s="52"/>
      <c r="AN12" s="34" t="s">
        <v>434</v>
      </c>
      <c r="AO12" s="34">
        <v>0</v>
      </c>
      <c r="AP12" s="34">
        <v>0</v>
      </c>
      <c r="AQ12" s="34">
        <f t="shared" si="7"/>
        <v>0</v>
      </c>
    </row>
    <row r="13" spans="1:43" ht="15" customHeight="1" x14ac:dyDescent="0.25">
      <c r="A13" s="32" t="s">
        <v>435</v>
      </c>
      <c r="B13" s="32" t="s">
        <v>147</v>
      </c>
      <c r="C13" s="32" t="s">
        <v>589</v>
      </c>
      <c r="D13" s="32" t="s">
        <v>584</v>
      </c>
      <c r="E13" s="33" t="s">
        <v>31</v>
      </c>
      <c r="F13" s="33" t="s">
        <v>31</v>
      </c>
      <c r="G13" s="34" t="s">
        <v>600</v>
      </c>
      <c r="H13" s="80" t="s">
        <v>596</v>
      </c>
      <c r="I13" s="80" t="s">
        <v>597</v>
      </c>
      <c r="J13" s="35">
        <v>44461</v>
      </c>
      <c r="K13" s="36">
        <v>44468</v>
      </c>
      <c r="L13" s="96" t="s">
        <v>66</v>
      </c>
      <c r="M13" s="36">
        <v>44504</v>
      </c>
      <c r="N13" s="37">
        <f t="shared" si="0"/>
        <v>36</v>
      </c>
      <c r="O13" s="34">
        <v>1</v>
      </c>
      <c r="P13" s="97"/>
      <c r="Q13" s="98" t="s">
        <v>587</v>
      </c>
      <c r="R13" s="98" t="s">
        <v>588</v>
      </c>
      <c r="S13" s="99">
        <f t="shared" si="1"/>
        <v>3.6989700043360187</v>
      </c>
      <c r="T13" s="55">
        <v>5000</v>
      </c>
      <c r="U13" s="55">
        <f t="shared" si="2"/>
        <v>3.6989700043360187</v>
      </c>
      <c r="V13" s="49">
        <v>13</v>
      </c>
      <c r="W13" s="41">
        <v>2</v>
      </c>
      <c r="X13" s="41" t="s">
        <v>601</v>
      </c>
      <c r="Y13" s="49">
        <v>3</v>
      </c>
      <c r="Z13" s="101"/>
      <c r="AA13" s="101"/>
      <c r="AB13" s="101"/>
      <c r="AC13" s="101"/>
      <c r="AD13" s="101"/>
      <c r="AE13" s="101"/>
      <c r="AF13" s="101"/>
      <c r="AG13" s="101"/>
      <c r="AH13" s="49">
        <v>0</v>
      </c>
      <c r="AI13" s="49">
        <v>0</v>
      </c>
      <c r="AJ13" s="34" t="s">
        <v>60</v>
      </c>
      <c r="AK13" s="34" t="s">
        <v>602</v>
      </c>
      <c r="AL13" s="34" t="s">
        <v>30</v>
      </c>
      <c r="AM13" s="52" t="s">
        <v>603</v>
      </c>
      <c r="AN13" s="34" t="s">
        <v>435</v>
      </c>
      <c r="AO13" s="34">
        <v>4</v>
      </c>
      <c r="AP13" s="34">
        <v>2</v>
      </c>
      <c r="AQ13" s="34">
        <f t="shared" si="7"/>
        <v>2</v>
      </c>
    </row>
    <row r="14" spans="1:43" ht="15" customHeight="1" x14ac:dyDescent="0.25">
      <c r="A14" s="32" t="s">
        <v>436</v>
      </c>
      <c r="B14" s="32" t="s">
        <v>147</v>
      </c>
      <c r="C14" s="32" t="s">
        <v>584</v>
      </c>
      <c r="D14" s="32" t="s">
        <v>584</v>
      </c>
      <c r="E14" s="48" t="s">
        <v>26</v>
      </c>
      <c r="F14" s="33" t="s">
        <v>31</v>
      </c>
      <c r="G14" s="34" t="s">
        <v>61</v>
      </c>
      <c r="H14" s="34" t="s">
        <v>596</v>
      </c>
      <c r="I14" s="34" t="s">
        <v>597</v>
      </c>
      <c r="J14" s="35">
        <v>44461</v>
      </c>
      <c r="K14" s="36">
        <v>44496</v>
      </c>
      <c r="L14" s="96" t="s">
        <v>66</v>
      </c>
      <c r="M14" s="36">
        <v>44504</v>
      </c>
      <c r="N14" s="37">
        <f t="shared" si="0"/>
        <v>8</v>
      </c>
      <c r="O14" s="34">
        <v>1</v>
      </c>
      <c r="P14" s="97"/>
      <c r="Q14" s="98" t="s">
        <v>587</v>
      </c>
      <c r="R14" s="98" t="s">
        <v>588</v>
      </c>
      <c r="S14" s="99">
        <f t="shared" si="1"/>
        <v>3.6989700043360187</v>
      </c>
      <c r="T14" s="55">
        <v>5000</v>
      </c>
      <c r="U14" s="55">
        <f t="shared" si="2"/>
        <v>3.6989700043360187</v>
      </c>
      <c r="V14" s="53">
        <v>5</v>
      </c>
      <c r="W14" s="53">
        <v>0</v>
      </c>
      <c r="X14" s="53">
        <v>0</v>
      </c>
      <c r="Y14" s="53">
        <v>0</v>
      </c>
      <c r="Z14" s="100">
        <v>2.3010299999999999</v>
      </c>
      <c r="AA14" s="100">
        <f t="shared" si="3"/>
        <v>0.36192228088051825</v>
      </c>
      <c r="AB14" s="100">
        <v>2.3010299956639799</v>
      </c>
      <c r="AC14" s="92">
        <f t="shared" ref="AC14:AC33" si="9">LOG10(AB14)</f>
        <v>0.36192228006214144</v>
      </c>
      <c r="AD14" s="98">
        <v>6.1719330699999997</v>
      </c>
      <c r="AE14" s="98">
        <f t="shared" si="4"/>
        <v>0.79042120781766934</v>
      </c>
      <c r="AF14" s="100">
        <v>0</v>
      </c>
      <c r="AG14" s="100">
        <v>0</v>
      </c>
      <c r="AH14" s="100">
        <v>0</v>
      </c>
      <c r="AI14" s="100">
        <v>0</v>
      </c>
      <c r="AJ14" s="40" t="s">
        <v>60</v>
      </c>
      <c r="AK14" s="40">
        <v>35</v>
      </c>
      <c r="AL14" s="34" t="s">
        <v>30</v>
      </c>
      <c r="AM14" s="47"/>
      <c r="AN14" s="40" t="s">
        <v>436</v>
      </c>
      <c r="AO14" s="40">
        <v>0</v>
      </c>
      <c r="AP14" s="40">
        <v>1</v>
      </c>
      <c r="AQ14" s="34">
        <f t="shared" si="7"/>
        <v>1</v>
      </c>
    </row>
    <row r="15" spans="1:43" ht="15" customHeight="1" x14ac:dyDescent="0.25">
      <c r="A15" s="32" t="s">
        <v>437</v>
      </c>
      <c r="B15" s="32" t="s">
        <v>147</v>
      </c>
      <c r="C15" s="32" t="s">
        <v>589</v>
      </c>
      <c r="D15" s="32" t="s">
        <v>584</v>
      </c>
      <c r="E15" s="33" t="s">
        <v>31</v>
      </c>
      <c r="F15" s="33" t="s">
        <v>31</v>
      </c>
      <c r="G15" s="34" t="s">
        <v>600</v>
      </c>
      <c r="H15" s="80" t="s">
        <v>596</v>
      </c>
      <c r="I15" s="80" t="s">
        <v>597</v>
      </c>
      <c r="J15" s="35">
        <v>44461</v>
      </c>
      <c r="K15" s="36">
        <v>44468</v>
      </c>
      <c r="L15" s="96" t="s">
        <v>66</v>
      </c>
      <c r="M15" s="36">
        <v>44504</v>
      </c>
      <c r="N15" s="37">
        <f t="shared" si="0"/>
        <v>36</v>
      </c>
      <c r="O15" s="34">
        <v>1</v>
      </c>
      <c r="P15" s="97"/>
      <c r="Q15" s="98" t="s">
        <v>587</v>
      </c>
      <c r="R15" s="98" t="s">
        <v>588</v>
      </c>
      <c r="S15" s="99">
        <f t="shared" si="1"/>
        <v>3.6989700043360187</v>
      </c>
      <c r="T15" s="55">
        <v>5000</v>
      </c>
      <c r="U15" s="55">
        <f t="shared" si="2"/>
        <v>3.6989700043360187</v>
      </c>
      <c r="V15" s="49">
        <v>16</v>
      </c>
      <c r="W15" s="41">
        <v>2</v>
      </c>
      <c r="X15" s="41" t="s">
        <v>604</v>
      </c>
      <c r="Y15" s="49">
        <v>0</v>
      </c>
      <c r="Z15" s="49">
        <v>8.5503610709080604</v>
      </c>
      <c r="AA15" s="49">
        <f t="shared" si="3"/>
        <v>0.93198445482079639</v>
      </c>
      <c r="AB15" s="49">
        <v>11.006143609716601</v>
      </c>
      <c r="AC15" s="92">
        <f t="shared" si="9"/>
        <v>1.0416351752478585</v>
      </c>
      <c r="AD15" s="101"/>
      <c r="AE15" s="101"/>
      <c r="AF15" s="101"/>
      <c r="AG15" s="101"/>
      <c r="AH15" s="101"/>
      <c r="AI15" s="101"/>
      <c r="AJ15" s="34" t="s">
        <v>60</v>
      </c>
      <c r="AK15" s="34" t="s">
        <v>605</v>
      </c>
      <c r="AL15" s="34" t="s">
        <v>30</v>
      </c>
      <c r="AM15" s="52" t="s">
        <v>606</v>
      </c>
      <c r="AN15" s="34" t="s">
        <v>437</v>
      </c>
      <c r="AO15" s="34">
        <v>5</v>
      </c>
      <c r="AP15" s="34">
        <v>2</v>
      </c>
      <c r="AQ15" s="34">
        <f t="shared" si="7"/>
        <v>2</v>
      </c>
    </row>
    <row r="16" spans="1:43" ht="15" customHeight="1" x14ac:dyDescent="0.25">
      <c r="A16" s="32" t="s">
        <v>438</v>
      </c>
      <c r="B16" s="32" t="s">
        <v>147</v>
      </c>
      <c r="C16" s="32" t="s">
        <v>589</v>
      </c>
      <c r="D16" s="32" t="s">
        <v>584</v>
      </c>
      <c r="E16" s="33" t="s">
        <v>31</v>
      </c>
      <c r="F16" s="33" t="s">
        <v>31</v>
      </c>
      <c r="G16" s="34" t="s">
        <v>600</v>
      </c>
      <c r="H16" s="34" t="s">
        <v>596</v>
      </c>
      <c r="I16" s="34" t="s">
        <v>597</v>
      </c>
      <c r="J16" s="35">
        <v>44461</v>
      </c>
      <c r="K16" s="36">
        <v>44468</v>
      </c>
      <c r="L16" s="96" t="s">
        <v>66</v>
      </c>
      <c r="M16" s="36">
        <v>44504</v>
      </c>
      <c r="N16" s="37">
        <f t="shared" si="0"/>
        <v>36</v>
      </c>
      <c r="O16" s="34">
        <v>1</v>
      </c>
      <c r="P16" s="97"/>
      <c r="Q16" s="98" t="s">
        <v>587</v>
      </c>
      <c r="R16" s="98" t="s">
        <v>588</v>
      </c>
      <c r="S16" s="99">
        <f t="shared" si="1"/>
        <v>3.6989700043360187</v>
      </c>
      <c r="T16" s="55">
        <v>5000</v>
      </c>
      <c r="U16" s="55">
        <f t="shared" si="2"/>
        <v>3.6989700043360187</v>
      </c>
      <c r="V16" s="49">
        <v>12</v>
      </c>
      <c r="W16" s="49">
        <v>2</v>
      </c>
      <c r="X16" s="49" t="s">
        <v>607</v>
      </c>
      <c r="Y16" s="49">
        <v>3</v>
      </c>
      <c r="Z16" s="49">
        <v>8.0265818103788504</v>
      </c>
      <c r="AA16" s="49">
        <f t="shared" si="3"/>
        <v>0.90453063656890431</v>
      </c>
      <c r="AB16" s="49">
        <v>10.308934885532</v>
      </c>
      <c r="AC16" s="92">
        <f t="shared" si="9"/>
        <v>1.0132137964928611</v>
      </c>
      <c r="AD16" s="101"/>
      <c r="AE16" s="101"/>
      <c r="AF16" s="101"/>
      <c r="AG16" s="101"/>
      <c r="AH16" s="101"/>
      <c r="AI16" s="101"/>
      <c r="AJ16" s="34" t="s">
        <v>60</v>
      </c>
      <c r="AK16" s="34" t="s">
        <v>602</v>
      </c>
      <c r="AL16" s="34" t="s">
        <v>30</v>
      </c>
      <c r="AM16" s="52"/>
      <c r="AN16" s="34" t="s">
        <v>438</v>
      </c>
      <c r="AO16" s="34">
        <v>5</v>
      </c>
      <c r="AP16" s="34">
        <v>3</v>
      </c>
      <c r="AQ16" s="34">
        <f t="shared" si="7"/>
        <v>3</v>
      </c>
    </row>
    <row r="17" spans="1:43" ht="15" customHeight="1" x14ac:dyDescent="0.25">
      <c r="A17" s="32" t="s">
        <v>439</v>
      </c>
      <c r="B17" s="32" t="s">
        <v>147</v>
      </c>
      <c r="C17" s="32" t="s">
        <v>584</v>
      </c>
      <c r="D17" s="32" t="s">
        <v>584</v>
      </c>
      <c r="E17" s="48" t="s">
        <v>26</v>
      </c>
      <c r="F17" s="48" t="s">
        <v>26</v>
      </c>
      <c r="G17" s="34" t="s">
        <v>61</v>
      </c>
      <c r="H17" s="80" t="s">
        <v>596</v>
      </c>
      <c r="I17" s="80" t="s">
        <v>597</v>
      </c>
      <c r="J17" s="35">
        <v>44461</v>
      </c>
      <c r="K17" s="36">
        <v>44487</v>
      </c>
      <c r="L17" s="96" t="s">
        <v>66</v>
      </c>
      <c r="M17" s="36">
        <v>44504</v>
      </c>
      <c r="N17" s="37">
        <f t="shared" si="0"/>
        <v>17</v>
      </c>
      <c r="O17" s="34">
        <v>1</v>
      </c>
      <c r="P17" s="97"/>
      <c r="Q17" s="98" t="s">
        <v>587</v>
      </c>
      <c r="R17" s="98" t="s">
        <v>588</v>
      </c>
      <c r="S17" s="99">
        <f t="shared" si="1"/>
        <v>3.6989700043360187</v>
      </c>
      <c r="T17" s="55">
        <v>5000</v>
      </c>
      <c r="U17" s="55">
        <f t="shared" si="2"/>
        <v>3.6989700043360187</v>
      </c>
      <c r="V17" s="49">
        <v>10</v>
      </c>
      <c r="W17" s="49">
        <v>0</v>
      </c>
      <c r="X17" s="49">
        <v>0</v>
      </c>
      <c r="Y17" s="49">
        <v>0</v>
      </c>
      <c r="Z17" s="100">
        <v>9.2749618799999993</v>
      </c>
      <c r="AA17" s="100">
        <f t="shared" si="3"/>
        <v>0.96731213334480082</v>
      </c>
      <c r="AB17" s="100">
        <v>7.49443108309279</v>
      </c>
      <c r="AC17" s="92">
        <f t="shared" si="9"/>
        <v>0.87473867029286501</v>
      </c>
      <c r="AD17" s="98">
        <v>11.7460431</v>
      </c>
      <c r="AE17" s="98">
        <f t="shared" si="4"/>
        <v>1.0698915900756278</v>
      </c>
      <c r="AF17" s="100">
        <v>0</v>
      </c>
      <c r="AG17" s="100">
        <v>0</v>
      </c>
      <c r="AH17" s="100">
        <v>0</v>
      </c>
      <c r="AI17" s="100">
        <v>0</v>
      </c>
      <c r="AJ17" s="34" t="s">
        <v>29</v>
      </c>
      <c r="AK17" s="34">
        <v>26</v>
      </c>
      <c r="AL17" s="34" t="s">
        <v>30</v>
      </c>
      <c r="AM17" s="52"/>
      <c r="AN17" s="34" t="s">
        <v>439</v>
      </c>
      <c r="AO17" s="34">
        <v>0</v>
      </c>
      <c r="AP17" s="34">
        <v>0</v>
      </c>
      <c r="AQ17" s="34">
        <f t="shared" si="7"/>
        <v>0</v>
      </c>
    </row>
    <row r="18" spans="1:43" ht="15" customHeight="1" x14ac:dyDescent="0.25">
      <c r="A18" s="32" t="s">
        <v>440</v>
      </c>
      <c r="B18" s="32" t="s">
        <v>147</v>
      </c>
      <c r="C18" s="32" t="s">
        <v>589</v>
      </c>
      <c r="D18" s="32" t="s">
        <v>584</v>
      </c>
      <c r="E18" s="33" t="s">
        <v>31</v>
      </c>
      <c r="F18" s="33" t="s">
        <v>31</v>
      </c>
      <c r="G18" s="34" t="s">
        <v>600</v>
      </c>
      <c r="H18" s="34" t="s">
        <v>596</v>
      </c>
      <c r="I18" s="34" t="s">
        <v>597</v>
      </c>
      <c r="J18" s="35">
        <v>44461</v>
      </c>
      <c r="K18" s="36">
        <v>44468</v>
      </c>
      <c r="L18" s="96" t="s">
        <v>66</v>
      </c>
      <c r="M18" s="36">
        <v>44504</v>
      </c>
      <c r="N18" s="37">
        <f t="shared" si="0"/>
        <v>36</v>
      </c>
      <c r="O18" s="34">
        <v>1</v>
      </c>
      <c r="P18" s="97"/>
      <c r="Q18" s="98" t="s">
        <v>587</v>
      </c>
      <c r="R18" s="98" t="s">
        <v>588</v>
      </c>
      <c r="S18" s="99">
        <f t="shared" si="1"/>
        <v>3.6989700043360187</v>
      </c>
      <c r="T18" s="55">
        <v>5000</v>
      </c>
      <c r="U18" s="55">
        <f t="shared" si="2"/>
        <v>3.6989700043360187</v>
      </c>
      <c r="V18" s="49">
        <v>0</v>
      </c>
      <c r="W18" s="41">
        <v>3</v>
      </c>
      <c r="X18" s="41" t="s">
        <v>608</v>
      </c>
      <c r="Y18" s="49">
        <v>3</v>
      </c>
      <c r="Z18" s="101"/>
      <c r="AA18" s="101"/>
      <c r="AB18" s="101"/>
      <c r="AC18" s="101"/>
      <c r="AD18" s="101"/>
      <c r="AE18" s="101"/>
      <c r="AF18" s="101"/>
      <c r="AG18" s="101"/>
      <c r="AH18" s="49">
        <v>0</v>
      </c>
      <c r="AI18" s="49">
        <v>0</v>
      </c>
      <c r="AJ18" s="34" t="s">
        <v>60</v>
      </c>
      <c r="AK18" s="34" t="s">
        <v>602</v>
      </c>
      <c r="AL18" s="34" t="s">
        <v>30</v>
      </c>
      <c r="AM18" s="52"/>
      <c r="AN18" s="34" t="s">
        <v>440</v>
      </c>
      <c r="AO18" s="34">
        <v>4</v>
      </c>
      <c r="AP18" s="34">
        <v>1</v>
      </c>
      <c r="AQ18" s="34">
        <f t="shared" si="7"/>
        <v>1</v>
      </c>
    </row>
    <row r="19" spans="1:43" ht="15" customHeight="1" x14ac:dyDescent="0.25">
      <c r="A19" s="32" t="s">
        <v>441</v>
      </c>
      <c r="B19" s="32" t="s">
        <v>147</v>
      </c>
      <c r="C19" s="32" t="s">
        <v>584</v>
      </c>
      <c r="D19" s="32" t="s">
        <v>584</v>
      </c>
      <c r="E19" s="48" t="s">
        <v>26</v>
      </c>
      <c r="F19" s="33" t="s">
        <v>31</v>
      </c>
      <c r="G19" s="34" t="s">
        <v>61</v>
      </c>
      <c r="H19" s="80" t="s">
        <v>596</v>
      </c>
      <c r="I19" s="80" t="s">
        <v>597</v>
      </c>
      <c r="J19" s="35">
        <v>44461</v>
      </c>
      <c r="K19" s="36">
        <v>44496</v>
      </c>
      <c r="L19" s="96" t="s">
        <v>66</v>
      </c>
      <c r="M19" s="36">
        <v>44504</v>
      </c>
      <c r="N19" s="37">
        <f t="shared" si="0"/>
        <v>8</v>
      </c>
      <c r="O19" s="34">
        <v>1</v>
      </c>
      <c r="P19" s="97"/>
      <c r="Q19" s="98" t="s">
        <v>587</v>
      </c>
      <c r="R19" s="98" t="s">
        <v>588</v>
      </c>
      <c r="S19" s="99">
        <f t="shared" si="1"/>
        <v>3.6989700043360187</v>
      </c>
      <c r="T19" s="55">
        <v>5000</v>
      </c>
      <c r="U19" s="55">
        <f t="shared" si="2"/>
        <v>3.6989700043360187</v>
      </c>
      <c r="V19" s="49">
        <v>5</v>
      </c>
      <c r="W19" s="49">
        <v>0</v>
      </c>
      <c r="X19" s="49">
        <v>0</v>
      </c>
      <c r="Y19" s="49">
        <v>0</v>
      </c>
      <c r="Z19" s="100">
        <v>2.3010299999999999</v>
      </c>
      <c r="AA19" s="100">
        <f t="shared" si="3"/>
        <v>0.36192228088051825</v>
      </c>
      <c r="AB19" s="100">
        <v>5.7536863801056102</v>
      </c>
      <c r="AC19" s="92">
        <f t="shared" si="9"/>
        <v>0.75994618583002083</v>
      </c>
      <c r="AD19" s="98">
        <v>2.3010299999999999</v>
      </c>
      <c r="AE19" s="98">
        <f t="shared" si="4"/>
        <v>0.36192228088051825</v>
      </c>
      <c r="AF19" s="100">
        <v>0</v>
      </c>
      <c r="AG19" s="100">
        <v>0</v>
      </c>
      <c r="AH19" s="100">
        <v>0</v>
      </c>
      <c r="AI19" s="100">
        <v>0</v>
      </c>
      <c r="AJ19" s="34" t="s">
        <v>60</v>
      </c>
      <c r="AK19" s="34">
        <v>26</v>
      </c>
      <c r="AL19" s="34" t="s">
        <v>30</v>
      </c>
      <c r="AM19" s="52"/>
      <c r="AN19" s="34" t="s">
        <v>441</v>
      </c>
      <c r="AO19" s="34">
        <v>0</v>
      </c>
      <c r="AP19" s="34">
        <v>1</v>
      </c>
      <c r="AQ19" s="34">
        <f t="shared" si="7"/>
        <v>1</v>
      </c>
    </row>
    <row r="20" spans="1:43" ht="15" customHeight="1" x14ac:dyDescent="0.25">
      <c r="A20" s="32" t="s">
        <v>442</v>
      </c>
      <c r="B20" s="32" t="s">
        <v>147</v>
      </c>
      <c r="C20" s="32" t="s">
        <v>589</v>
      </c>
      <c r="D20" s="32" t="s">
        <v>584</v>
      </c>
      <c r="E20" s="33" t="s">
        <v>31</v>
      </c>
      <c r="F20" s="33" t="s">
        <v>31</v>
      </c>
      <c r="G20" s="34" t="s">
        <v>600</v>
      </c>
      <c r="H20" s="34" t="s">
        <v>596</v>
      </c>
      <c r="I20" s="34" t="s">
        <v>597</v>
      </c>
      <c r="J20" s="35">
        <v>44461</v>
      </c>
      <c r="K20" s="36">
        <v>44468</v>
      </c>
      <c r="L20" s="96" t="s">
        <v>66</v>
      </c>
      <c r="M20" s="36">
        <v>44504</v>
      </c>
      <c r="N20" s="37">
        <f t="shared" si="0"/>
        <v>36</v>
      </c>
      <c r="O20" s="34">
        <v>1</v>
      </c>
      <c r="P20" s="97"/>
      <c r="Q20" s="98" t="s">
        <v>587</v>
      </c>
      <c r="R20" s="98" t="s">
        <v>588</v>
      </c>
      <c r="S20" s="99">
        <f t="shared" si="1"/>
        <v>3.6989700043360187</v>
      </c>
      <c r="T20" s="55">
        <v>5000</v>
      </c>
      <c r="U20" s="55">
        <f t="shared" si="2"/>
        <v>3.6989700043360187</v>
      </c>
      <c r="V20" s="49">
        <v>25</v>
      </c>
      <c r="W20" s="41">
        <v>2</v>
      </c>
      <c r="X20" s="41" t="s">
        <v>609</v>
      </c>
      <c r="Y20" s="49">
        <v>2</v>
      </c>
      <c r="Z20" s="101"/>
      <c r="AA20" s="101"/>
      <c r="AB20" s="101"/>
      <c r="AC20" s="101"/>
      <c r="AD20" s="101"/>
      <c r="AE20" s="101"/>
      <c r="AF20" s="101"/>
      <c r="AG20" s="101"/>
      <c r="AH20" s="49">
        <v>0</v>
      </c>
      <c r="AI20" s="49">
        <v>0</v>
      </c>
      <c r="AJ20" s="34" t="s">
        <v>60</v>
      </c>
      <c r="AK20" s="34" t="s">
        <v>602</v>
      </c>
      <c r="AL20" s="34" t="s">
        <v>30</v>
      </c>
      <c r="AM20" s="52"/>
      <c r="AN20" s="34" t="s">
        <v>442</v>
      </c>
      <c r="AO20" s="34">
        <v>4</v>
      </c>
      <c r="AP20" s="34">
        <v>2</v>
      </c>
      <c r="AQ20" s="34">
        <f t="shared" si="7"/>
        <v>2</v>
      </c>
    </row>
    <row r="21" spans="1:43" ht="15" customHeight="1" x14ac:dyDescent="0.25">
      <c r="A21" s="32" t="s">
        <v>444</v>
      </c>
      <c r="B21" s="32" t="s">
        <v>147</v>
      </c>
      <c r="C21" s="32" t="s">
        <v>589</v>
      </c>
      <c r="D21" s="32" t="s">
        <v>584</v>
      </c>
      <c r="E21" s="33" t="s">
        <v>31</v>
      </c>
      <c r="F21" s="33" t="s">
        <v>31</v>
      </c>
      <c r="G21" s="34" t="s">
        <v>61</v>
      </c>
      <c r="H21" s="80" t="s">
        <v>596</v>
      </c>
      <c r="I21" s="80" t="s">
        <v>597</v>
      </c>
      <c r="J21" s="35">
        <v>44461</v>
      </c>
      <c r="K21" s="36">
        <v>44468</v>
      </c>
      <c r="L21" s="96" t="s">
        <v>66</v>
      </c>
      <c r="M21" s="36">
        <v>44504</v>
      </c>
      <c r="N21" s="37">
        <f t="shared" si="0"/>
        <v>36</v>
      </c>
      <c r="O21" s="34">
        <v>1</v>
      </c>
      <c r="P21" s="97"/>
      <c r="Q21" s="98" t="s">
        <v>587</v>
      </c>
      <c r="R21" s="98" t="s">
        <v>588</v>
      </c>
      <c r="S21" s="99">
        <f t="shared" si="1"/>
        <v>3.6989700043360187</v>
      </c>
      <c r="T21" s="55">
        <v>5000</v>
      </c>
      <c r="U21" s="55">
        <f t="shared" si="2"/>
        <v>3.6989700043360187</v>
      </c>
      <c r="V21" s="49">
        <v>17</v>
      </c>
      <c r="W21" s="41">
        <v>2</v>
      </c>
      <c r="X21" s="42" t="s">
        <v>610</v>
      </c>
      <c r="Y21" s="49">
        <v>2</v>
      </c>
      <c r="Z21" s="100">
        <v>8.5503610699999992</v>
      </c>
      <c r="AA21" s="100">
        <f t="shared" si="3"/>
        <v>0.93198445477467362</v>
      </c>
      <c r="AB21" s="100">
        <v>10.308934885532</v>
      </c>
      <c r="AC21" s="92">
        <f t="shared" si="9"/>
        <v>1.0132137964928611</v>
      </c>
      <c r="AD21" s="98">
        <v>6.7166518999999996</v>
      </c>
      <c r="AE21" s="98">
        <f t="shared" si="4"/>
        <v>0.82715284095514829</v>
      </c>
      <c r="AF21" s="101"/>
      <c r="AG21" s="101"/>
      <c r="AH21" s="101"/>
      <c r="AI21" s="101"/>
      <c r="AJ21" s="34" t="s">
        <v>29</v>
      </c>
      <c r="AK21" s="34">
        <v>7</v>
      </c>
      <c r="AL21" s="34" t="s">
        <v>30</v>
      </c>
      <c r="AM21" s="52"/>
      <c r="AN21" s="34" t="s">
        <v>444</v>
      </c>
      <c r="AO21" s="34">
        <v>4</v>
      </c>
      <c r="AP21" s="34">
        <v>2</v>
      </c>
      <c r="AQ21" s="34">
        <f t="shared" si="7"/>
        <v>2</v>
      </c>
    </row>
    <row r="22" spans="1:43" ht="15" customHeight="1" x14ac:dyDescent="0.25">
      <c r="A22" s="32" t="s">
        <v>445</v>
      </c>
      <c r="B22" s="32" t="s">
        <v>147</v>
      </c>
      <c r="C22" s="32" t="s">
        <v>589</v>
      </c>
      <c r="D22" s="32" t="s">
        <v>584</v>
      </c>
      <c r="E22" s="33" t="s">
        <v>31</v>
      </c>
      <c r="F22" s="33" t="s">
        <v>31</v>
      </c>
      <c r="G22" s="34" t="s">
        <v>61</v>
      </c>
      <c r="H22" s="34" t="s">
        <v>596</v>
      </c>
      <c r="I22" s="34" t="s">
        <v>597</v>
      </c>
      <c r="J22" s="35">
        <v>44461</v>
      </c>
      <c r="K22" s="36">
        <v>44487</v>
      </c>
      <c r="L22" s="96" t="s">
        <v>66</v>
      </c>
      <c r="M22" s="36">
        <v>44504</v>
      </c>
      <c r="N22" s="37">
        <f t="shared" si="0"/>
        <v>17</v>
      </c>
      <c r="O22" s="34">
        <v>1</v>
      </c>
      <c r="P22" s="97"/>
      <c r="Q22" s="98" t="s">
        <v>587</v>
      </c>
      <c r="R22" s="98" t="s">
        <v>588</v>
      </c>
      <c r="S22" s="99">
        <f t="shared" si="1"/>
        <v>3.6989700043360187</v>
      </c>
      <c r="T22" s="55">
        <v>5000</v>
      </c>
      <c r="U22" s="55">
        <f t="shared" si="2"/>
        <v>3.6989700043360187</v>
      </c>
      <c r="V22" s="49">
        <v>25</v>
      </c>
      <c r="W22" s="41">
        <v>1</v>
      </c>
      <c r="X22" s="42" t="s">
        <v>611</v>
      </c>
      <c r="Y22" s="49">
        <v>3</v>
      </c>
      <c r="Z22" s="102"/>
      <c r="AA22" s="102"/>
      <c r="AB22" s="102"/>
      <c r="AC22" s="102"/>
      <c r="AD22" s="102"/>
      <c r="AE22" s="102"/>
      <c r="AF22" s="100">
        <v>4.1461280356782382</v>
      </c>
      <c r="AG22" s="100">
        <f>LOG10(AF22)</f>
        <v>0.61764270931837528</v>
      </c>
      <c r="AH22">
        <v>3.1139433523068369</v>
      </c>
      <c r="AI22" s="100">
        <f>LOG10(AH22)</f>
        <v>0.49331070778113001</v>
      </c>
      <c r="AJ22" s="34" t="s">
        <v>60</v>
      </c>
      <c r="AK22" s="34">
        <v>7</v>
      </c>
      <c r="AL22" s="34" t="s">
        <v>30</v>
      </c>
      <c r="AM22" s="52"/>
      <c r="AN22" s="34" t="s">
        <v>445</v>
      </c>
      <c r="AO22" s="34">
        <v>4</v>
      </c>
      <c r="AP22" s="34">
        <v>4</v>
      </c>
      <c r="AQ22" s="34">
        <f t="shared" si="7"/>
        <v>4</v>
      </c>
    </row>
    <row r="23" spans="1:43" ht="15" customHeight="1" thickBot="1" x14ac:dyDescent="0.3">
      <c r="A23" s="103" t="s">
        <v>446</v>
      </c>
      <c r="B23" s="103" t="s">
        <v>147</v>
      </c>
      <c r="C23" s="103" t="s">
        <v>589</v>
      </c>
      <c r="D23" s="103" t="s">
        <v>584</v>
      </c>
      <c r="E23" s="104" t="s">
        <v>31</v>
      </c>
      <c r="F23" s="104" t="s">
        <v>31</v>
      </c>
      <c r="G23" s="105" t="s">
        <v>61</v>
      </c>
      <c r="H23" s="80" t="s">
        <v>596</v>
      </c>
      <c r="I23" s="80" t="s">
        <v>597</v>
      </c>
      <c r="J23" s="106">
        <v>44461</v>
      </c>
      <c r="K23" s="107">
        <v>44487</v>
      </c>
      <c r="L23" s="108" t="s">
        <v>66</v>
      </c>
      <c r="M23" s="107">
        <v>44504</v>
      </c>
      <c r="N23" s="109">
        <f t="shared" si="0"/>
        <v>17</v>
      </c>
      <c r="O23" s="105">
        <v>1</v>
      </c>
      <c r="P23" s="110"/>
      <c r="Q23" s="111" t="s">
        <v>587</v>
      </c>
      <c r="R23" s="111" t="s">
        <v>588</v>
      </c>
      <c r="S23" s="112">
        <f t="shared" si="1"/>
        <v>3.6989700043360187</v>
      </c>
      <c r="T23" s="113">
        <v>5000</v>
      </c>
      <c r="U23" s="113">
        <f t="shared" si="2"/>
        <v>3.6989700043360187</v>
      </c>
      <c r="V23" s="114">
        <v>18</v>
      </c>
      <c r="W23" s="114">
        <v>0</v>
      </c>
      <c r="X23" s="114">
        <v>0</v>
      </c>
      <c r="Y23" s="114">
        <v>2</v>
      </c>
      <c r="Z23" s="115">
        <v>8.5503610699999992</v>
      </c>
      <c r="AA23" s="115">
        <f t="shared" si="3"/>
        <v>0.93198445477467362</v>
      </c>
      <c r="AB23" s="115">
        <v>11.810874426539501</v>
      </c>
      <c r="AC23" s="92">
        <f t="shared" si="9"/>
        <v>1.0722820521065493</v>
      </c>
      <c r="AD23" s="111">
        <v>11.7460431</v>
      </c>
      <c r="AE23" s="111">
        <f t="shared" si="4"/>
        <v>1.0698915900756278</v>
      </c>
      <c r="AF23" s="112">
        <v>3.9542425094393248</v>
      </c>
      <c r="AG23" s="111">
        <f t="shared" si="5"/>
        <v>0.59706330060781165</v>
      </c>
      <c r="AH23" s="116">
        <v>2.3521825181113627</v>
      </c>
      <c r="AI23" s="115">
        <f t="shared" ref="AI23:AI24" si="10">LOG10(AH23)</f>
        <v>0.37147101788589421</v>
      </c>
      <c r="AJ23" s="105" t="s">
        <v>29</v>
      </c>
      <c r="AK23" s="105">
        <v>26</v>
      </c>
      <c r="AL23" s="105" t="s">
        <v>30</v>
      </c>
      <c r="AM23" s="117"/>
      <c r="AN23" s="105" t="s">
        <v>446</v>
      </c>
      <c r="AO23" s="105">
        <v>3</v>
      </c>
      <c r="AP23" s="105">
        <v>4</v>
      </c>
      <c r="AQ23" s="105">
        <f t="shared" si="7"/>
        <v>4</v>
      </c>
    </row>
    <row r="24" spans="1:43" ht="15" customHeight="1" thickTop="1" x14ac:dyDescent="0.25">
      <c r="A24" s="15" t="s">
        <v>57</v>
      </c>
      <c r="B24" s="15" t="s">
        <v>58</v>
      </c>
      <c r="C24" s="15" t="s">
        <v>589</v>
      </c>
      <c r="D24" s="15" t="s">
        <v>584</v>
      </c>
      <c r="E24" s="17" t="s">
        <v>31</v>
      </c>
      <c r="F24" s="17" t="s">
        <v>31</v>
      </c>
      <c r="G24" s="18" t="s">
        <v>61</v>
      </c>
      <c r="H24" s="18">
        <v>26</v>
      </c>
      <c r="I24" s="18" t="s">
        <v>586</v>
      </c>
      <c r="J24" s="19">
        <v>44231</v>
      </c>
      <c r="K24" s="20">
        <v>44246</v>
      </c>
      <c r="L24" s="18" t="s">
        <v>66</v>
      </c>
      <c r="M24" s="20">
        <v>44260</v>
      </c>
      <c r="N24" s="21">
        <f t="shared" si="0"/>
        <v>14</v>
      </c>
      <c r="O24" s="18">
        <v>1</v>
      </c>
      <c r="P24" s="118" t="s">
        <v>612</v>
      </c>
      <c r="Q24" s="18" t="s">
        <v>613</v>
      </c>
      <c r="R24" s="18" t="s">
        <v>588</v>
      </c>
      <c r="S24" s="119">
        <f t="shared" si="1"/>
        <v>5.4771212547196626</v>
      </c>
      <c r="T24" s="120">
        <v>300000</v>
      </c>
      <c r="U24" s="120">
        <f t="shared" si="2"/>
        <v>5.4771212547196626</v>
      </c>
      <c r="V24" s="25">
        <v>9</v>
      </c>
      <c r="W24" s="119">
        <v>1</v>
      </c>
      <c r="X24" s="121" t="s">
        <v>614</v>
      </c>
      <c r="Y24" s="25">
        <v>0</v>
      </c>
      <c r="Z24" s="122">
        <v>74506.529635827799</v>
      </c>
      <c r="AA24" s="122">
        <f t="shared" si="3"/>
        <v>4.8721943353059221</v>
      </c>
      <c r="AB24" s="93"/>
      <c r="AC24" s="93"/>
      <c r="AD24" s="26">
        <v>18673.876035135581</v>
      </c>
      <c r="AE24" s="26">
        <f t="shared" si="4"/>
        <v>4.2712344714551316</v>
      </c>
      <c r="AF24" s="28">
        <v>55000</v>
      </c>
      <c r="AG24" s="26">
        <f t="shared" si="5"/>
        <v>4.7403626894942441</v>
      </c>
      <c r="AH24" s="123">
        <v>3.7403626894942437</v>
      </c>
      <c r="AI24" s="124">
        <f t="shared" si="10"/>
        <v>0.57291371621357179</v>
      </c>
      <c r="AJ24" s="24" t="s">
        <v>60</v>
      </c>
      <c r="AK24" s="24">
        <v>14</v>
      </c>
      <c r="AL24" s="24" t="s">
        <v>30</v>
      </c>
      <c r="AM24" s="31"/>
      <c r="AN24" s="24" t="s">
        <v>57</v>
      </c>
      <c r="AO24" s="24">
        <v>5</v>
      </c>
      <c r="AP24" s="24">
        <v>4</v>
      </c>
      <c r="AQ24" s="18">
        <f t="shared" si="7"/>
        <v>4</v>
      </c>
    </row>
    <row r="25" spans="1:43" ht="15" customHeight="1" x14ac:dyDescent="0.25">
      <c r="A25" s="32" t="s">
        <v>447</v>
      </c>
      <c r="B25" s="32" t="s">
        <v>58</v>
      </c>
      <c r="C25" s="32" t="s">
        <v>589</v>
      </c>
      <c r="D25" s="32" t="s">
        <v>589</v>
      </c>
      <c r="E25" s="33" t="s">
        <v>31</v>
      </c>
      <c r="F25" s="33" t="s">
        <v>31</v>
      </c>
      <c r="G25" s="34" t="s">
        <v>61</v>
      </c>
      <c r="H25" s="34">
        <v>22</v>
      </c>
      <c r="I25" s="34" t="s">
        <v>586</v>
      </c>
      <c r="J25" s="35">
        <v>44231</v>
      </c>
      <c r="K25" s="36">
        <v>44246</v>
      </c>
      <c r="L25" s="34" t="s">
        <v>66</v>
      </c>
      <c r="M25" s="36">
        <v>44260</v>
      </c>
      <c r="N25" s="37">
        <f t="shared" si="0"/>
        <v>14</v>
      </c>
      <c r="O25" s="34">
        <v>1</v>
      </c>
      <c r="P25" s="97"/>
      <c r="Q25" s="34" t="s">
        <v>588</v>
      </c>
      <c r="R25" s="34" t="s">
        <v>588</v>
      </c>
      <c r="S25" s="49">
        <f t="shared" si="1"/>
        <v>5.4771212547196626</v>
      </c>
      <c r="T25" s="55">
        <v>300000</v>
      </c>
      <c r="U25" s="55">
        <f t="shared" si="2"/>
        <v>5.4771212547196626</v>
      </c>
      <c r="V25" s="49">
        <v>15</v>
      </c>
      <c r="W25" s="49">
        <v>2</v>
      </c>
      <c r="X25" s="49" t="s">
        <v>615</v>
      </c>
      <c r="Y25" s="49">
        <v>0</v>
      </c>
      <c r="Z25" s="49">
        <v>4.9520925660864972</v>
      </c>
      <c r="AA25" s="49">
        <f t="shared" si="3"/>
        <v>0.69478875405827534</v>
      </c>
      <c r="AB25" s="125"/>
      <c r="AC25" s="126"/>
      <c r="AD25" s="34">
        <v>4.3305653867897806</v>
      </c>
      <c r="AE25" s="34">
        <f t="shared" si="4"/>
        <v>0.63654460035647042</v>
      </c>
      <c r="AF25" s="34">
        <v>0</v>
      </c>
      <c r="AG25" s="34">
        <v>0</v>
      </c>
      <c r="AH25" s="34">
        <v>0</v>
      </c>
      <c r="AI25" s="34">
        <v>0</v>
      </c>
      <c r="AJ25" s="34" t="s">
        <v>29</v>
      </c>
      <c r="AK25" s="34">
        <v>14</v>
      </c>
      <c r="AL25" s="125"/>
      <c r="AM25" s="52"/>
      <c r="AN25" s="34" t="s">
        <v>447</v>
      </c>
      <c r="AO25" s="34">
        <v>4</v>
      </c>
      <c r="AP25" s="34">
        <v>3</v>
      </c>
      <c r="AQ25" s="34">
        <f t="shared" si="7"/>
        <v>3</v>
      </c>
    </row>
    <row r="26" spans="1:43" ht="15" customHeight="1" x14ac:dyDescent="0.25">
      <c r="A26" s="32" t="s">
        <v>449</v>
      </c>
      <c r="B26" s="32" t="s">
        <v>58</v>
      </c>
      <c r="C26" s="32" t="s">
        <v>589</v>
      </c>
      <c r="D26" s="32" t="s">
        <v>589</v>
      </c>
      <c r="E26" s="33" t="s">
        <v>31</v>
      </c>
      <c r="F26" s="33" t="s">
        <v>31</v>
      </c>
      <c r="G26" s="34" t="s">
        <v>61</v>
      </c>
      <c r="H26" s="34">
        <v>18</v>
      </c>
      <c r="I26" s="34" t="s">
        <v>586</v>
      </c>
      <c r="J26" s="35">
        <v>44231</v>
      </c>
      <c r="K26" s="36">
        <v>44247</v>
      </c>
      <c r="L26" s="34" t="s">
        <v>66</v>
      </c>
      <c r="M26" s="36">
        <v>44260</v>
      </c>
      <c r="N26" s="37">
        <f t="shared" si="0"/>
        <v>13</v>
      </c>
      <c r="O26" s="34">
        <v>1</v>
      </c>
      <c r="P26" s="97"/>
      <c r="Q26" s="34" t="s">
        <v>588</v>
      </c>
      <c r="R26" s="34" t="s">
        <v>588</v>
      </c>
      <c r="S26" s="49">
        <f t="shared" si="1"/>
        <v>5.4771212547196626</v>
      </c>
      <c r="T26" s="55">
        <v>300000</v>
      </c>
      <c r="U26" s="55">
        <f t="shared" si="2"/>
        <v>5.4771212547196626</v>
      </c>
      <c r="V26" s="49">
        <v>24</v>
      </c>
      <c r="W26" s="49">
        <v>2</v>
      </c>
      <c r="X26" s="49" t="s">
        <v>616</v>
      </c>
      <c r="Y26" s="49">
        <v>0</v>
      </c>
      <c r="Z26" s="49">
        <v>4.267939841165874</v>
      </c>
      <c r="AA26" s="49">
        <f t="shared" si="3"/>
        <v>0.63021828918874156</v>
      </c>
      <c r="AB26" s="125"/>
      <c r="AC26" s="126"/>
      <c r="AD26" s="34">
        <v>4.4334433192113449</v>
      </c>
      <c r="AE26" s="34">
        <f t="shared" si="4"/>
        <v>0.64674116045811614</v>
      </c>
      <c r="AF26" s="34">
        <v>0</v>
      </c>
      <c r="AG26" s="34">
        <v>0</v>
      </c>
      <c r="AH26" s="34">
        <v>0</v>
      </c>
      <c r="AI26" s="34">
        <v>0</v>
      </c>
      <c r="AJ26" s="34" t="s">
        <v>29</v>
      </c>
      <c r="AK26" s="34">
        <v>14</v>
      </c>
      <c r="AL26" s="125"/>
      <c r="AM26" s="52"/>
      <c r="AN26" s="34" t="s">
        <v>449</v>
      </c>
      <c r="AO26" s="34">
        <v>5</v>
      </c>
      <c r="AP26" s="34">
        <v>3</v>
      </c>
      <c r="AQ26" s="34">
        <f t="shared" si="7"/>
        <v>3</v>
      </c>
    </row>
    <row r="27" spans="1:43" ht="15" customHeight="1" x14ac:dyDescent="0.25">
      <c r="A27" s="32" t="s">
        <v>62</v>
      </c>
      <c r="B27" s="32" t="s">
        <v>58</v>
      </c>
      <c r="C27" s="32" t="s">
        <v>584</v>
      </c>
      <c r="D27" s="32" t="s">
        <v>584</v>
      </c>
      <c r="E27" s="48" t="s">
        <v>26</v>
      </c>
      <c r="F27" s="48" t="s">
        <v>26</v>
      </c>
      <c r="G27" s="34" t="s">
        <v>617</v>
      </c>
      <c r="H27" s="34">
        <v>18</v>
      </c>
      <c r="I27" s="34" t="s">
        <v>586</v>
      </c>
      <c r="J27" s="35">
        <v>44231</v>
      </c>
      <c r="K27" s="36">
        <v>44248</v>
      </c>
      <c r="L27" s="34" t="s">
        <v>66</v>
      </c>
      <c r="M27" s="36">
        <v>44260</v>
      </c>
      <c r="N27" s="37">
        <f t="shared" si="0"/>
        <v>12</v>
      </c>
      <c r="O27" s="34">
        <v>1</v>
      </c>
      <c r="P27" s="97"/>
      <c r="Q27" s="34" t="s">
        <v>613</v>
      </c>
      <c r="R27" s="34" t="s">
        <v>588</v>
      </c>
      <c r="S27" s="49">
        <f t="shared" si="1"/>
        <v>5.4771212547196626</v>
      </c>
      <c r="T27" s="55">
        <v>300000</v>
      </c>
      <c r="U27" s="55">
        <f t="shared" si="2"/>
        <v>5.4771212547196626</v>
      </c>
      <c r="V27" s="53">
        <v>11</v>
      </c>
      <c r="W27" s="53">
        <v>0</v>
      </c>
      <c r="X27" s="53">
        <v>0</v>
      </c>
      <c r="Y27" s="53">
        <v>0</v>
      </c>
      <c r="Z27" s="56">
        <v>1874361.3927918421</v>
      </c>
      <c r="AA27" s="56">
        <f t="shared" si="3"/>
        <v>6.2728533302890011</v>
      </c>
      <c r="AB27" s="56">
        <v>4.1314677078450197</v>
      </c>
      <c r="AC27" s="92">
        <f t="shared" si="9"/>
        <v>0.61610436259663237</v>
      </c>
      <c r="AD27" s="43">
        <v>15235.076569378962</v>
      </c>
      <c r="AE27" s="43">
        <f t="shared" si="4"/>
        <v>4.1828446412679279</v>
      </c>
      <c r="AF27" s="45">
        <v>250</v>
      </c>
      <c r="AG27" s="43">
        <f t="shared" si="5"/>
        <v>2.3979400086720375</v>
      </c>
      <c r="AH27" s="43">
        <v>0</v>
      </c>
      <c r="AI27" s="43">
        <v>0</v>
      </c>
      <c r="AJ27" s="40" t="s">
        <v>60</v>
      </c>
      <c r="AK27" s="40">
        <v>14</v>
      </c>
      <c r="AL27" s="40" t="s">
        <v>30</v>
      </c>
      <c r="AM27" s="47"/>
      <c r="AN27" s="40" t="s">
        <v>62</v>
      </c>
      <c r="AO27" s="40">
        <v>0</v>
      </c>
      <c r="AP27" s="40">
        <v>0</v>
      </c>
      <c r="AQ27" s="34">
        <f t="shared" si="7"/>
        <v>0</v>
      </c>
    </row>
    <row r="28" spans="1:43" ht="15" customHeight="1" x14ac:dyDescent="0.25">
      <c r="A28" s="32" t="s">
        <v>63</v>
      </c>
      <c r="B28" s="32" t="s">
        <v>58</v>
      </c>
      <c r="C28" s="32" t="s">
        <v>584</v>
      </c>
      <c r="D28" s="32" t="s">
        <v>584</v>
      </c>
      <c r="E28" s="48" t="s">
        <v>26</v>
      </c>
      <c r="F28" s="48" t="s">
        <v>26</v>
      </c>
      <c r="G28" s="34" t="s">
        <v>61</v>
      </c>
      <c r="H28" s="34">
        <v>19</v>
      </c>
      <c r="I28" s="34" t="s">
        <v>586</v>
      </c>
      <c r="J28" s="35">
        <v>44231</v>
      </c>
      <c r="K28" s="36">
        <v>44249</v>
      </c>
      <c r="L28" s="34" t="s">
        <v>66</v>
      </c>
      <c r="M28" s="36">
        <v>44260</v>
      </c>
      <c r="N28" s="37">
        <f t="shared" si="0"/>
        <v>11</v>
      </c>
      <c r="O28" s="34">
        <v>1</v>
      </c>
      <c r="P28" s="97"/>
      <c r="Q28" s="34" t="s">
        <v>613</v>
      </c>
      <c r="R28" s="34" t="s">
        <v>588</v>
      </c>
      <c r="S28" s="49">
        <f t="shared" si="1"/>
        <v>5.4771212547196626</v>
      </c>
      <c r="T28" s="55">
        <v>300000</v>
      </c>
      <c r="U28" s="55">
        <f t="shared" si="2"/>
        <v>5.4771212547196626</v>
      </c>
      <c r="V28" s="53">
        <v>26</v>
      </c>
      <c r="W28" s="53">
        <v>0</v>
      </c>
      <c r="X28" s="53">
        <v>0</v>
      </c>
      <c r="Y28" s="53">
        <v>0</v>
      </c>
      <c r="Z28" s="56">
        <v>100869.2950937344</v>
      </c>
      <c r="AA28" s="56">
        <f t="shared" si="3"/>
        <v>5.0037589858528211</v>
      </c>
      <c r="AB28" s="56">
        <v>5.3682636473952599</v>
      </c>
      <c r="AC28" s="92">
        <f t="shared" si="9"/>
        <v>0.72983383685489867</v>
      </c>
      <c r="AD28" s="43">
        <v>18224.160950920199</v>
      </c>
      <c r="AE28" s="43">
        <f t="shared" si="4"/>
        <v>4.2606475423247874</v>
      </c>
      <c r="AF28" s="43">
        <v>0</v>
      </c>
      <c r="AG28" s="43">
        <v>0</v>
      </c>
      <c r="AH28" s="43">
        <v>0</v>
      </c>
      <c r="AI28" s="43">
        <v>0</v>
      </c>
      <c r="AJ28" s="40" t="s">
        <v>60</v>
      </c>
      <c r="AK28" s="40">
        <v>14</v>
      </c>
      <c r="AL28" s="40" t="s">
        <v>30</v>
      </c>
      <c r="AM28" s="47"/>
      <c r="AN28" s="40" t="s">
        <v>63</v>
      </c>
      <c r="AO28" s="40">
        <v>0</v>
      </c>
      <c r="AP28" s="40">
        <v>0</v>
      </c>
      <c r="AQ28" s="34">
        <f t="shared" si="7"/>
        <v>0</v>
      </c>
    </row>
    <row r="29" spans="1:43" ht="15" customHeight="1" thickBot="1" x14ac:dyDescent="0.3">
      <c r="A29" s="58" t="s">
        <v>64</v>
      </c>
      <c r="B29" s="58" t="s">
        <v>58</v>
      </c>
      <c r="C29" s="58" t="s">
        <v>584</v>
      </c>
      <c r="D29" s="58" t="s">
        <v>584</v>
      </c>
      <c r="E29" s="59" t="s">
        <v>26</v>
      </c>
      <c r="F29" s="59" t="s">
        <v>26</v>
      </c>
      <c r="G29" s="61" t="s">
        <v>61</v>
      </c>
      <c r="H29" s="61">
        <v>26</v>
      </c>
      <c r="I29" s="61" t="s">
        <v>586</v>
      </c>
      <c r="J29" s="62">
        <v>44231</v>
      </c>
      <c r="K29" s="63">
        <v>44237</v>
      </c>
      <c r="L29" s="61" t="s">
        <v>66</v>
      </c>
      <c r="M29" s="63">
        <v>44260</v>
      </c>
      <c r="N29" s="64">
        <f t="shared" si="0"/>
        <v>23</v>
      </c>
      <c r="O29" s="61">
        <v>1</v>
      </c>
      <c r="P29" s="110"/>
      <c r="Q29" s="61" t="s">
        <v>613</v>
      </c>
      <c r="R29" s="61" t="s">
        <v>588</v>
      </c>
      <c r="S29" s="66">
        <f t="shared" si="1"/>
        <v>5.4771212547196626</v>
      </c>
      <c r="T29" s="67">
        <v>300000</v>
      </c>
      <c r="U29" s="67">
        <f t="shared" si="2"/>
        <v>5.4771212547196626</v>
      </c>
      <c r="V29" s="68">
        <v>14</v>
      </c>
      <c r="W29" s="68">
        <v>0</v>
      </c>
      <c r="X29" s="68">
        <v>0</v>
      </c>
      <c r="Y29" s="68">
        <v>3</v>
      </c>
      <c r="Z29" s="69">
        <v>13412190.904939741</v>
      </c>
      <c r="AA29" s="69">
        <f t="shared" si="3"/>
        <v>7.1274997264128999</v>
      </c>
      <c r="AB29" s="69">
        <v>9.4945054908833999</v>
      </c>
      <c r="AC29" s="92">
        <f t="shared" si="9"/>
        <v>0.97747234999211907</v>
      </c>
      <c r="AD29" s="73">
        <v>763119855749.76599</v>
      </c>
      <c r="AE29" s="73">
        <f t="shared" si="4"/>
        <v>11.882592753685982</v>
      </c>
      <c r="AF29" s="127">
        <v>60000</v>
      </c>
      <c r="AG29" s="128">
        <f t="shared" si="5"/>
        <v>4.7781512503836439</v>
      </c>
      <c r="AH29" s="128">
        <v>2.6989700043360187</v>
      </c>
      <c r="AI29" s="128">
        <f>LOG10(AH29)</f>
        <v>0.4311980579452766</v>
      </c>
      <c r="AJ29" s="76" t="s">
        <v>29</v>
      </c>
      <c r="AK29" s="76">
        <v>5</v>
      </c>
      <c r="AL29" s="76" t="s">
        <v>30</v>
      </c>
      <c r="AM29" s="77"/>
      <c r="AN29" s="76" t="s">
        <v>64</v>
      </c>
      <c r="AO29" s="76">
        <v>0</v>
      </c>
      <c r="AP29" s="76">
        <v>0</v>
      </c>
      <c r="AQ29" s="61">
        <f t="shared" si="7"/>
        <v>0</v>
      </c>
    </row>
    <row r="30" spans="1:43" ht="15" customHeight="1" thickTop="1" x14ac:dyDescent="0.25">
      <c r="A30" s="78" t="s">
        <v>451</v>
      </c>
      <c r="B30" s="78" t="s">
        <v>91</v>
      </c>
      <c r="C30" s="78" t="s">
        <v>589</v>
      </c>
      <c r="D30" s="78" t="s">
        <v>584</v>
      </c>
      <c r="E30" s="79" t="s">
        <v>31</v>
      </c>
      <c r="F30" s="79" t="s">
        <v>31</v>
      </c>
      <c r="G30" s="80" t="s">
        <v>61</v>
      </c>
      <c r="H30" s="80">
        <v>7</v>
      </c>
      <c r="I30" s="80" t="s">
        <v>591</v>
      </c>
      <c r="J30" s="81">
        <v>44295</v>
      </c>
      <c r="K30" s="82">
        <v>44301</v>
      </c>
      <c r="L30" s="80" t="s">
        <v>66</v>
      </c>
      <c r="M30" s="82">
        <v>44322</v>
      </c>
      <c r="N30" s="84">
        <f t="shared" si="0"/>
        <v>21</v>
      </c>
      <c r="O30" s="80">
        <v>1</v>
      </c>
      <c r="P30" s="129"/>
      <c r="Q30" s="80" t="s">
        <v>587</v>
      </c>
      <c r="R30" s="80" t="s">
        <v>588</v>
      </c>
      <c r="S30" s="89">
        <f t="shared" si="1"/>
        <v>3.6989700043360187</v>
      </c>
      <c r="T30" s="88">
        <v>5000</v>
      </c>
      <c r="U30" s="88">
        <f t="shared" si="2"/>
        <v>3.6989700043360187</v>
      </c>
      <c r="V30" s="130">
        <v>13</v>
      </c>
      <c r="W30" s="130">
        <v>0</v>
      </c>
      <c r="X30" s="130">
        <v>0</v>
      </c>
      <c r="Y30" s="130">
        <v>2</v>
      </c>
      <c r="Z30" s="131">
        <v>22175753.91</v>
      </c>
      <c r="AA30" s="131">
        <f t="shared" si="3"/>
        <v>7.3458783934817644</v>
      </c>
      <c r="AB30" s="131">
        <v>10.519677636256899</v>
      </c>
      <c r="AC30" s="92">
        <f t="shared" si="9"/>
        <v>1.0220024315534755</v>
      </c>
      <c r="AD30" s="131">
        <v>2996970000000</v>
      </c>
      <c r="AE30" s="131">
        <f t="shared" si="4"/>
        <v>12.476682395631775</v>
      </c>
      <c r="AF30" s="28">
        <v>25000000</v>
      </c>
      <c r="AG30" s="131">
        <f t="shared" si="5"/>
        <v>7.3979400086720375</v>
      </c>
      <c r="AH30" s="46">
        <v>4.5797835966168101</v>
      </c>
      <c r="AI30" s="132">
        <f>LOG10(AH30)</f>
        <v>0.6608449572581091</v>
      </c>
      <c r="AJ30" s="130" t="s">
        <v>29</v>
      </c>
      <c r="AK30" s="130">
        <v>5</v>
      </c>
      <c r="AL30" s="130" t="s">
        <v>30</v>
      </c>
      <c r="AM30" s="133"/>
      <c r="AN30" s="134" t="s">
        <v>451</v>
      </c>
      <c r="AO30" s="134">
        <v>5</v>
      </c>
      <c r="AP30" s="134">
        <v>2</v>
      </c>
      <c r="AQ30" s="80">
        <f t="shared" si="7"/>
        <v>2</v>
      </c>
    </row>
    <row r="31" spans="1:43" ht="15" customHeight="1" x14ac:dyDescent="0.25">
      <c r="A31" s="32" t="s">
        <v>452</v>
      </c>
      <c r="B31" s="32" t="s">
        <v>91</v>
      </c>
      <c r="C31" s="32" t="s">
        <v>589</v>
      </c>
      <c r="D31" s="32" t="s">
        <v>584</v>
      </c>
      <c r="E31" s="33" t="s">
        <v>31</v>
      </c>
      <c r="F31" s="33" t="s">
        <v>31</v>
      </c>
      <c r="G31" s="34" t="s">
        <v>61</v>
      </c>
      <c r="H31" s="34">
        <v>7</v>
      </c>
      <c r="I31" s="34" t="s">
        <v>591</v>
      </c>
      <c r="J31" s="35">
        <v>44295</v>
      </c>
      <c r="K31" s="36">
        <v>44301</v>
      </c>
      <c r="L31" s="34" t="s">
        <v>66</v>
      </c>
      <c r="M31" s="36">
        <v>44322</v>
      </c>
      <c r="N31" s="37">
        <f t="shared" si="0"/>
        <v>21</v>
      </c>
      <c r="O31" s="34">
        <v>1</v>
      </c>
      <c r="P31" s="38"/>
      <c r="Q31" s="34" t="s">
        <v>96</v>
      </c>
      <c r="R31" s="34" t="s">
        <v>618</v>
      </c>
      <c r="S31" s="49">
        <f t="shared" si="1"/>
        <v>3.3979400086720375</v>
      </c>
      <c r="T31" s="55">
        <v>2500</v>
      </c>
      <c r="U31" s="55">
        <f t="shared" si="2"/>
        <v>3.3979400086720375</v>
      </c>
      <c r="V31" s="53">
        <v>16</v>
      </c>
      <c r="W31" s="49">
        <v>0</v>
      </c>
      <c r="X31" s="135" t="s">
        <v>619</v>
      </c>
      <c r="Y31" s="53">
        <v>3</v>
      </c>
      <c r="Z31" s="56">
        <v>3026975</v>
      </c>
      <c r="AA31" s="56">
        <f t="shared" si="3"/>
        <v>6.4810088341026306</v>
      </c>
      <c r="AB31" s="56">
        <v>9.2648178230095404</v>
      </c>
      <c r="AC31" s="92">
        <f t="shared" si="9"/>
        <v>0.96683688407158697</v>
      </c>
      <c r="AD31" s="136">
        <v>2020000000000</v>
      </c>
      <c r="AE31" s="136">
        <f t="shared" si="4"/>
        <v>12.305351369446624</v>
      </c>
      <c r="AF31" s="45">
        <v>4800000</v>
      </c>
      <c r="AG31" s="56">
        <f t="shared" si="5"/>
        <v>6.6812412373755876</v>
      </c>
      <c r="AH31" s="46">
        <v>3.3617278360175931</v>
      </c>
      <c r="AI31" s="137">
        <f>LOG10(AH31)</f>
        <v>0.52656255023959586</v>
      </c>
      <c r="AJ31" s="53" t="s">
        <v>29</v>
      </c>
      <c r="AK31" s="53">
        <v>5</v>
      </c>
      <c r="AL31" s="53" t="s">
        <v>30</v>
      </c>
      <c r="AM31" s="138"/>
      <c r="AN31" s="40" t="s">
        <v>452</v>
      </c>
      <c r="AO31" s="40">
        <v>5</v>
      </c>
      <c r="AP31" s="40">
        <v>2</v>
      </c>
      <c r="AQ31" s="34">
        <f t="shared" si="7"/>
        <v>2</v>
      </c>
    </row>
    <row r="32" spans="1:43" ht="15" customHeight="1" x14ac:dyDescent="0.25">
      <c r="A32" s="32" t="s">
        <v>453</v>
      </c>
      <c r="B32" s="32" t="s">
        <v>91</v>
      </c>
      <c r="C32" s="32" t="s">
        <v>589</v>
      </c>
      <c r="D32" s="32" t="s">
        <v>584</v>
      </c>
      <c r="E32" s="33" t="s">
        <v>31</v>
      </c>
      <c r="F32" s="33" t="s">
        <v>31</v>
      </c>
      <c r="G32" s="34" t="s">
        <v>61</v>
      </c>
      <c r="H32" s="34">
        <v>7</v>
      </c>
      <c r="I32" s="34" t="s">
        <v>591</v>
      </c>
      <c r="J32" s="35">
        <v>44295</v>
      </c>
      <c r="K32" s="36">
        <v>44301</v>
      </c>
      <c r="L32" s="34" t="s">
        <v>66</v>
      </c>
      <c r="M32" s="36">
        <v>44322</v>
      </c>
      <c r="N32" s="37">
        <f t="shared" si="0"/>
        <v>21</v>
      </c>
      <c r="O32" s="34">
        <v>1</v>
      </c>
      <c r="P32" s="38"/>
      <c r="Q32" s="34" t="s">
        <v>98</v>
      </c>
      <c r="R32" s="34" t="s">
        <v>618</v>
      </c>
      <c r="S32" s="49">
        <f t="shared" si="1"/>
        <v>3.6989700043360187</v>
      </c>
      <c r="T32" s="55">
        <v>5000</v>
      </c>
      <c r="U32" s="55">
        <f t="shared" si="2"/>
        <v>3.6989700043360187</v>
      </c>
      <c r="V32" s="53">
        <v>6</v>
      </c>
      <c r="W32" s="53">
        <v>0</v>
      </c>
      <c r="X32" s="53">
        <v>0</v>
      </c>
      <c r="Y32" s="53">
        <v>0</v>
      </c>
      <c r="Z32" s="56">
        <v>2280342</v>
      </c>
      <c r="AA32" s="56">
        <f t="shared" si="3"/>
        <v>6.3579999862874148</v>
      </c>
      <c r="AB32" s="56">
        <v>0</v>
      </c>
      <c r="AC32" s="92">
        <v>0</v>
      </c>
      <c r="AD32" s="56">
        <v>235000000000</v>
      </c>
      <c r="AE32" s="56">
        <f t="shared" si="4"/>
        <v>11.371067862271737</v>
      </c>
      <c r="AF32" s="45">
        <v>270000</v>
      </c>
      <c r="AG32" s="56">
        <f t="shared" si="5"/>
        <v>5.4313637641589869</v>
      </c>
      <c r="AH32" s="56">
        <v>0</v>
      </c>
      <c r="AI32" s="131">
        <v>0</v>
      </c>
      <c r="AJ32" s="53" t="s">
        <v>29</v>
      </c>
      <c r="AK32" s="53">
        <v>5</v>
      </c>
      <c r="AL32" s="53" t="s">
        <v>30</v>
      </c>
      <c r="AM32" s="138"/>
      <c r="AN32" s="40" t="s">
        <v>453</v>
      </c>
      <c r="AO32" s="40">
        <v>4</v>
      </c>
      <c r="AP32" s="40">
        <v>1</v>
      </c>
      <c r="AQ32" s="34">
        <f t="shared" si="7"/>
        <v>1</v>
      </c>
    </row>
    <row r="33" spans="1:43" ht="15" customHeight="1" x14ac:dyDescent="0.25">
      <c r="A33" s="32" t="s">
        <v>454</v>
      </c>
      <c r="B33" s="32" t="s">
        <v>91</v>
      </c>
      <c r="C33" s="32" t="s">
        <v>589</v>
      </c>
      <c r="D33" s="32" t="s">
        <v>584</v>
      </c>
      <c r="E33" s="33" t="s">
        <v>31</v>
      </c>
      <c r="F33" s="33" t="s">
        <v>31</v>
      </c>
      <c r="G33" s="34" t="s">
        <v>61</v>
      </c>
      <c r="H33" s="34">
        <v>7</v>
      </c>
      <c r="I33" s="34" t="s">
        <v>591</v>
      </c>
      <c r="J33" s="35">
        <v>44295</v>
      </c>
      <c r="K33" s="36">
        <v>44301</v>
      </c>
      <c r="L33" s="34" t="s">
        <v>66</v>
      </c>
      <c r="M33" s="36">
        <v>44322</v>
      </c>
      <c r="N33" s="37">
        <f t="shared" si="0"/>
        <v>21</v>
      </c>
      <c r="O33" s="34">
        <v>1</v>
      </c>
      <c r="P33" s="38"/>
      <c r="Q33" s="34" t="s">
        <v>105</v>
      </c>
      <c r="R33" s="34" t="s">
        <v>618</v>
      </c>
      <c r="S33" s="49">
        <f t="shared" si="1"/>
        <v>3.6989700043360187</v>
      </c>
      <c r="T33" s="55">
        <v>5000</v>
      </c>
      <c r="U33" s="55">
        <f t="shared" si="2"/>
        <v>3.6989700043360187</v>
      </c>
      <c r="V33" s="53">
        <v>19</v>
      </c>
      <c r="W33" s="53">
        <v>0</v>
      </c>
      <c r="X33" s="53">
        <v>0</v>
      </c>
      <c r="Y33" s="53">
        <v>0</v>
      </c>
      <c r="Z33" s="56">
        <v>3681373</v>
      </c>
      <c r="AA33" s="56">
        <f t="shared" si="3"/>
        <v>6.5660098227807859</v>
      </c>
      <c r="AB33" s="56">
        <v>9.8007170782823891</v>
      </c>
      <c r="AC33" s="92">
        <f t="shared" si="9"/>
        <v>0.99125785240148256</v>
      </c>
      <c r="AD33" s="136">
        <v>86400000000</v>
      </c>
      <c r="AE33" s="136">
        <f t="shared" si="4"/>
        <v>10.936513742478894</v>
      </c>
      <c r="AF33" s="139">
        <v>42000</v>
      </c>
      <c r="AG33" s="136">
        <f t="shared" si="5"/>
        <v>4.6232492903979008</v>
      </c>
      <c r="AH33" s="140">
        <v>3.6127838567197355</v>
      </c>
      <c r="AI33" s="136">
        <f>LOG10(AH33)</f>
        <v>0.55784197965773852</v>
      </c>
      <c r="AJ33" s="53" t="s">
        <v>29</v>
      </c>
      <c r="AK33" s="53">
        <v>5</v>
      </c>
      <c r="AL33" s="53" t="s">
        <v>30</v>
      </c>
      <c r="AM33" s="138"/>
      <c r="AN33" s="40" t="s">
        <v>454</v>
      </c>
      <c r="AO33" s="40">
        <v>4</v>
      </c>
      <c r="AP33" s="40">
        <v>3</v>
      </c>
      <c r="AQ33" s="34">
        <f t="shared" si="7"/>
        <v>3</v>
      </c>
    </row>
    <row r="34" spans="1:43" s="3" customFormat="1" ht="15" customHeight="1" thickBot="1" x14ac:dyDescent="0.3">
      <c r="A34" s="303" t="s">
        <v>455</v>
      </c>
      <c r="B34" s="303" t="s">
        <v>91</v>
      </c>
      <c r="C34" s="303" t="s">
        <v>584</v>
      </c>
      <c r="D34" s="303" t="s">
        <v>584</v>
      </c>
      <c r="E34" s="304" t="s">
        <v>26</v>
      </c>
      <c r="F34" s="304" t="s">
        <v>26</v>
      </c>
      <c r="G34" s="304" t="s">
        <v>61</v>
      </c>
      <c r="H34" s="304">
        <v>7</v>
      </c>
      <c r="I34" s="304" t="s">
        <v>591</v>
      </c>
      <c r="J34" s="305">
        <v>44295</v>
      </c>
      <c r="K34" s="306">
        <v>44301</v>
      </c>
      <c r="L34" s="304" t="s">
        <v>66</v>
      </c>
      <c r="M34" s="306">
        <v>44322</v>
      </c>
      <c r="N34" s="307">
        <f t="shared" si="0"/>
        <v>21</v>
      </c>
      <c r="O34" s="304">
        <v>1</v>
      </c>
      <c r="P34" s="308"/>
      <c r="Q34" s="304" t="s">
        <v>110</v>
      </c>
      <c r="R34" s="304" t="s">
        <v>110</v>
      </c>
      <c r="S34" s="304">
        <f t="shared" si="1"/>
        <v>3.6989700043360187</v>
      </c>
      <c r="T34" s="309">
        <v>5000</v>
      </c>
      <c r="U34" s="309">
        <f t="shared" si="2"/>
        <v>3.6989700043360187</v>
      </c>
      <c r="V34" s="310">
        <v>2</v>
      </c>
      <c r="W34" s="310">
        <v>0</v>
      </c>
      <c r="X34" s="310">
        <v>0</v>
      </c>
      <c r="Y34" s="310">
        <v>0</v>
      </c>
      <c r="Z34" s="311">
        <v>0</v>
      </c>
      <c r="AA34" s="311"/>
      <c r="AB34" s="311"/>
      <c r="AC34" s="311"/>
      <c r="AD34" s="311">
        <v>0</v>
      </c>
      <c r="AE34" s="311"/>
      <c r="AF34" s="312">
        <v>0</v>
      </c>
      <c r="AG34" s="311">
        <v>0</v>
      </c>
      <c r="AH34" s="313">
        <v>0</v>
      </c>
      <c r="AI34" s="311">
        <v>0</v>
      </c>
      <c r="AJ34" s="310" t="s">
        <v>29</v>
      </c>
      <c r="AK34" s="310">
        <v>5</v>
      </c>
      <c r="AL34" s="310" t="s">
        <v>30</v>
      </c>
      <c r="AM34" s="314"/>
      <c r="AN34" s="310" t="s">
        <v>455</v>
      </c>
      <c r="AO34" s="310">
        <v>0</v>
      </c>
      <c r="AP34" s="310">
        <v>0</v>
      </c>
      <c r="AQ34" s="80">
        <f>SUM(AN37,AP37)</f>
        <v>1</v>
      </c>
    </row>
    <row r="35" spans="1:43" s="3" customFormat="1" ht="15" customHeight="1" thickTop="1" thickBot="1" x14ac:dyDescent="0.3">
      <c r="A35" s="327" t="s">
        <v>456</v>
      </c>
      <c r="B35" s="327" t="s">
        <v>69</v>
      </c>
      <c r="C35" s="327" t="s">
        <v>589</v>
      </c>
      <c r="D35" s="327" t="s">
        <v>589</v>
      </c>
      <c r="E35" s="328" t="s">
        <v>31</v>
      </c>
      <c r="F35" s="328" t="s">
        <v>31</v>
      </c>
      <c r="G35" s="328" t="s">
        <v>600</v>
      </c>
      <c r="H35" s="328">
        <v>11</v>
      </c>
      <c r="I35" s="328" t="s">
        <v>591</v>
      </c>
      <c r="J35" s="329">
        <v>44308</v>
      </c>
      <c r="K35" s="329">
        <v>44319</v>
      </c>
      <c r="L35" s="328" t="s">
        <v>66</v>
      </c>
      <c r="M35" s="329">
        <v>44384</v>
      </c>
      <c r="N35" s="330">
        <f t="shared" si="0"/>
        <v>65</v>
      </c>
      <c r="O35" s="328">
        <v>1</v>
      </c>
      <c r="P35" s="331" t="s">
        <v>612</v>
      </c>
      <c r="Q35" s="328" t="s">
        <v>620</v>
      </c>
      <c r="R35" s="328" t="s">
        <v>588</v>
      </c>
      <c r="S35" s="328"/>
      <c r="T35" s="328"/>
      <c r="U35" s="328"/>
      <c r="V35" s="328">
        <v>18</v>
      </c>
      <c r="W35" s="328">
        <v>2</v>
      </c>
      <c r="X35" s="328" t="s">
        <v>621</v>
      </c>
      <c r="Y35" s="328"/>
      <c r="Z35" s="328"/>
      <c r="AA35" s="328"/>
      <c r="AB35" s="328"/>
      <c r="AC35" s="328"/>
      <c r="AD35" s="328"/>
      <c r="AE35" s="328"/>
      <c r="AF35" s="328"/>
      <c r="AG35" s="328"/>
      <c r="AH35" s="328"/>
      <c r="AI35" s="328"/>
      <c r="AJ35" s="328" t="s">
        <v>60</v>
      </c>
      <c r="AK35" s="328"/>
      <c r="AL35" s="328"/>
      <c r="AM35" s="332" t="s">
        <v>622</v>
      </c>
      <c r="AN35" s="328" t="s">
        <v>456</v>
      </c>
      <c r="AO35" s="328">
        <v>5</v>
      </c>
      <c r="AP35" s="328">
        <v>2</v>
      </c>
      <c r="AQ35" s="105">
        <f>SUM(AN38,AP38)</f>
        <v>2</v>
      </c>
    </row>
    <row r="36" spans="1:43" s="3" customFormat="1" ht="15" customHeight="1" thickTop="1" thickBot="1" x14ac:dyDescent="0.3">
      <c r="A36" s="315" t="s">
        <v>457</v>
      </c>
      <c r="B36" s="315" t="s">
        <v>69</v>
      </c>
      <c r="C36" s="315" t="s">
        <v>589</v>
      </c>
      <c r="D36" s="315" t="s">
        <v>589</v>
      </c>
      <c r="E36" s="316" t="s">
        <v>31</v>
      </c>
      <c r="F36" s="316" t="s">
        <v>26</v>
      </c>
      <c r="G36" s="316" t="s">
        <v>600</v>
      </c>
      <c r="H36" s="316">
        <v>11</v>
      </c>
      <c r="I36" s="316" t="s">
        <v>591</v>
      </c>
      <c r="J36" s="318">
        <v>44308</v>
      </c>
      <c r="K36" s="318">
        <v>44319</v>
      </c>
      <c r="L36" s="316" t="s">
        <v>66</v>
      </c>
      <c r="M36" s="318">
        <v>44384</v>
      </c>
      <c r="N36" s="319">
        <f t="shared" si="0"/>
        <v>65</v>
      </c>
      <c r="O36" s="316">
        <v>1</v>
      </c>
      <c r="P36" s="333"/>
      <c r="Q36" s="316" t="s">
        <v>620</v>
      </c>
      <c r="R36" s="316" t="s">
        <v>588</v>
      </c>
      <c r="S36" s="316"/>
      <c r="T36" s="316"/>
      <c r="U36" s="316"/>
      <c r="V36" s="316">
        <v>16</v>
      </c>
      <c r="W36" s="316">
        <v>2</v>
      </c>
      <c r="X36" s="316" t="s">
        <v>621</v>
      </c>
      <c r="Y36" s="316"/>
      <c r="Z36" s="316"/>
      <c r="AA36" s="316"/>
      <c r="AB36" s="316"/>
      <c r="AC36" s="316"/>
      <c r="AD36" s="316"/>
      <c r="AE36" s="316"/>
      <c r="AF36" s="316"/>
      <c r="AG36" s="316"/>
      <c r="AH36" s="316"/>
      <c r="AI36" s="316"/>
      <c r="AJ36" s="316" t="s">
        <v>60</v>
      </c>
      <c r="AK36" s="316"/>
      <c r="AL36" s="316"/>
      <c r="AM36" s="334" t="s">
        <v>622</v>
      </c>
      <c r="AN36" s="316" t="s">
        <v>457</v>
      </c>
      <c r="AO36" s="316">
        <v>4</v>
      </c>
      <c r="AP36" s="316">
        <v>0</v>
      </c>
      <c r="AQ36" s="18">
        <f>SUM(AN39,AP39)</f>
        <v>2</v>
      </c>
    </row>
    <row r="37" spans="1:43" ht="15" customHeight="1" thickTop="1" x14ac:dyDescent="0.25">
      <c r="A37" s="78" t="s">
        <v>458</v>
      </c>
      <c r="B37" s="78" t="s">
        <v>72</v>
      </c>
      <c r="C37" s="78" t="s">
        <v>584</v>
      </c>
      <c r="D37" s="78" t="s">
        <v>584</v>
      </c>
      <c r="E37" s="16" t="s">
        <v>26</v>
      </c>
      <c r="F37" s="79" t="s">
        <v>31</v>
      </c>
      <c r="G37" s="80" t="s">
        <v>61</v>
      </c>
      <c r="H37" s="80">
        <v>17</v>
      </c>
      <c r="I37" s="80" t="s">
        <v>591</v>
      </c>
      <c r="J37" s="82">
        <v>44370</v>
      </c>
      <c r="K37" s="82">
        <v>44375</v>
      </c>
      <c r="L37" s="80" t="s">
        <v>66</v>
      </c>
      <c r="M37" s="82">
        <v>44384</v>
      </c>
      <c r="N37" s="84">
        <f t="shared" si="0"/>
        <v>9</v>
      </c>
      <c r="O37" s="80">
        <v>1</v>
      </c>
      <c r="P37" s="129"/>
      <c r="Q37" s="80" t="s">
        <v>613</v>
      </c>
      <c r="R37" s="80" t="s">
        <v>588</v>
      </c>
      <c r="S37" s="80">
        <f t="shared" si="1"/>
        <v>5</v>
      </c>
      <c r="T37" s="88">
        <v>100000</v>
      </c>
      <c r="U37" s="88">
        <f t="shared" si="2"/>
        <v>5</v>
      </c>
      <c r="V37" s="130">
        <v>4</v>
      </c>
      <c r="W37" s="130">
        <v>0</v>
      </c>
      <c r="X37" s="130">
        <v>0</v>
      </c>
      <c r="Y37" s="130">
        <v>0</v>
      </c>
      <c r="Z37" s="131">
        <v>18633113.055463903</v>
      </c>
      <c r="AA37" s="131">
        <f t="shared" si="3"/>
        <v>7.2702854190328443</v>
      </c>
      <c r="AB37" s="131">
        <v>7.8489548344412281</v>
      </c>
      <c r="AC37" s="131">
        <f>LOG10(AB37)</f>
        <v>0.89481183001216014</v>
      </c>
      <c r="AD37" s="131">
        <v>994157.79540740605</v>
      </c>
      <c r="AE37" s="131">
        <f t="shared" si="4"/>
        <v>5.9974553222603024</v>
      </c>
      <c r="AF37" s="130">
        <v>0</v>
      </c>
      <c r="AG37" s="130">
        <v>0</v>
      </c>
      <c r="AH37" s="130">
        <v>0</v>
      </c>
      <c r="AI37" s="130">
        <v>0</v>
      </c>
      <c r="AJ37" s="130" t="s">
        <v>73</v>
      </c>
      <c r="AK37" s="130">
        <v>5</v>
      </c>
      <c r="AL37" s="130" t="s">
        <v>30</v>
      </c>
      <c r="AM37" s="133"/>
      <c r="AN37" s="134" t="s">
        <v>458</v>
      </c>
      <c r="AO37" s="134">
        <v>0</v>
      </c>
      <c r="AP37" s="134">
        <v>1</v>
      </c>
      <c r="AQ37" s="34">
        <f>SUM(AN40,AP40)</f>
        <v>3</v>
      </c>
    </row>
    <row r="38" spans="1:43" ht="15" customHeight="1" thickBot="1" x14ac:dyDescent="0.3">
      <c r="A38" s="103" t="s">
        <v>460</v>
      </c>
      <c r="B38" s="103" t="s">
        <v>72</v>
      </c>
      <c r="C38" s="103" t="s">
        <v>584</v>
      </c>
      <c r="D38" s="103" t="s">
        <v>584</v>
      </c>
      <c r="E38" s="141" t="s">
        <v>26</v>
      </c>
      <c r="F38" s="104" t="s">
        <v>31</v>
      </c>
      <c r="G38" s="105" t="s">
        <v>61</v>
      </c>
      <c r="H38" s="105">
        <v>16</v>
      </c>
      <c r="I38" s="105" t="s">
        <v>591</v>
      </c>
      <c r="J38" s="107">
        <v>44370</v>
      </c>
      <c r="K38" s="107">
        <v>44375</v>
      </c>
      <c r="L38" s="105" t="s">
        <v>66</v>
      </c>
      <c r="M38" s="107">
        <v>44384</v>
      </c>
      <c r="N38" s="109">
        <f t="shared" si="0"/>
        <v>9</v>
      </c>
      <c r="O38" s="105">
        <v>1</v>
      </c>
      <c r="P38" s="65"/>
      <c r="Q38" s="105" t="s">
        <v>613</v>
      </c>
      <c r="R38" s="105" t="s">
        <v>588</v>
      </c>
      <c r="S38" s="105">
        <f t="shared" si="1"/>
        <v>5</v>
      </c>
      <c r="T38" s="113">
        <v>100000</v>
      </c>
      <c r="U38" s="113">
        <f t="shared" si="2"/>
        <v>5</v>
      </c>
      <c r="V38" s="142">
        <v>15</v>
      </c>
      <c r="W38" s="142">
        <v>0</v>
      </c>
      <c r="X38" s="142">
        <v>0</v>
      </c>
      <c r="Y38" s="142">
        <v>0</v>
      </c>
      <c r="Z38" s="143">
        <v>3341446.2957869195</v>
      </c>
      <c r="AA38" s="143">
        <f t="shared" si="3"/>
        <v>6.5239344854714361</v>
      </c>
      <c r="AB38" s="143">
        <v>7.8028713655834858</v>
      </c>
      <c r="AC38" s="143">
        <f t="shared" ref="AC38:AC41" si="11">LOG10(AB38)</f>
        <v>0.8922544474028149</v>
      </c>
      <c r="AD38" s="143">
        <v>37000.373204207004</v>
      </c>
      <c r="AE38" s="143">
        <f t="shared" si="4"/>
        <v>4.5682061045997058</v>
      </c>
      <c r="AF38" s="142">
        <v>0</v>
      </c>
      <c r="AG38" s="142">
        <v>0</v>
      </c>
      <c r="AH38" s="142">
        <v>0</v>
      </c>
      <c r="AI38" s="142">
        <v>0</v>
      </c>
      <c r="AJ38" s="142" t="s">
        <v>75</v>
      </c>
      <c r="AK38" s="142">
        <v>5</v>
      </c>
      <c r="AL38" s="142" t="s">
        <v>30</v>
      </c>
      <c r="AM38" s="144"/>
      <c r="AN38" s="145" t="s">
        <v>460</v>
      </c>
      <c r="AO38" s="145">
        <v>0</v>
      </c>
      <c r="AP38" s="145">
        <v>2</v>
      </c>
      <c r="AQ38" s="34">
        <f>SUM(AN41,AP41)</f>
        <v>3</v>
      </c>
    </row>
    <row r="39" spans="1:43" ht="15" customHeight="1" thickTop="1" x14ac:dyDescent="0.25">
      <c r="A39" s="15" t="s">
        <v>461</v>
      </c>
      <c r="B39" s="15" t="s">
        <v>112</v>
      </c>
      <c r="C39" s="15" t="s">
        <v>589</v>
      </c>
      <c r="D39" s="15" t="s">
        <v>584</v>
      </c>
      <c r="E39" s="17" t="s">
        <v>31</v>
      </c>
      <c r="F39" s="17" t="s">
        <v>31</v>
      </c>
      <c r="G39" s="18" t="s">
        <v>61</v>
      </c>
      <c r="H39" s="18">
        <v>7</v>
      </c>
      <c r="I39" s="18" t="s">
        <v>591</v>
      </c>
      <c r="J39" s="19">
        <v>44371</v>
      </c>
      <c r="K39" s="20">
        <v>44376</v>
      </c>
      <c r="L39" s="18" t="s">
        <v>66</v>
      </c>
      <c r="M39" s="20">
        <v>44384</v>
      </c>
      <c r="N39" s="21">
        <f t="shared" si="0"/>
        <v>8</v>
      </c>
      <c r="O39" s="18">
        <v>1</v>
      </c>
      <c r="P39" s="22"/>
      <c r="Q39" s="18" t="s">
        <v>587</v>
      </c>
      <c r="R39" s="18" t="s">
        <v>588</v>
      </c>
      <c r="S39" s="18">
        <f t="shared" si="1"/>
        <v>3.6989700043360187</v>
      </c>
      <c r="T39" s="120">
        <v>5000</v>
      </c>
      <c r="U39" s="120">
        <f t="shared" si="2"/>
        <v>3.6989700043360187</v>
      </c>
      <c r="V39" s="25">
        <v>13</v>
      </c>
      <c r="W39" s="148">
        <v>1</v>
      </c>
      <c r="X39" s="149" t="s">
        <v>623</v>
      </c>
      <c r="Y39" s="148">
        <v>1</v>
      </c>
      <c r="Z39" s="150"/>
      <c r="AA39" s="150"/>
      <c r="AB39" s="151">
        <v>9.6560982020128296</v>
      </c>
      <c r="AC39" s="151">
        <f t="shared" si="11"/>
        <v>0.98480167386388018</v>
      </c>
      <c r="AD39" s="151">
        <v>914000000000</v>
      </c>
      <c r="AE39" s="151">
        <f t="shared" si="4"/>
        <v>11.960946195733831</v>
      </c>
      <c r="AF39" s="152">
        <v>68000</v>
      </c>
      <c r="AG39" s="151">
        <f t="shared" si="5"/>
        <v>4.8325089127062366</v>
      </c>
      <c r="AH39" s="153">
        <v>2.8129133566428557</v>
      </c>
      <c r="AI39" s="154">
        <f>LOG10(AH39)</f>
        <v>0.44915635523259678</v>
      </c>
      <c r="AJ39" s="25" t="s">
        <v>29</v>
      </c>
      <c r="AK39" s="25">
        <v>5</v>
      </c>
      <c r="AL39" s="25" t="s">
        <v>30</v>
      </c>
      <c r="AM39" s="155"/>
      <c r="AN39" s="24" t="s">
        <v>461</v>
      </c>
      <c r="AO39" s="24">
        <v>3</v>
      </c>
      <c r="AP39" s="24">
        <v>2</v>
      </c>
      <c r="AQ39" s="80">
        <f t="shared" ref="AQ39:AQ58" si="12">SUM(AN43,AP43)</f>
        <v>4</v>
      </c>
    </row>
    <row r="40" spans="1:43" ht="15" customHeight="1" thickBot="1" x14ac:dyDescent="0.3">
      <c r="A40" s="32" t="s">
        <v>462</v>
      </c>
      <c r="B40" s="32" t="s">
        <v>112</v>
      </c>
      <c r="C40" s="32" t="s">
        <v>584</v>
      </c>
      <c r="D40" s="32" t="s">
        <v>584</v>
      </c>
      <c r="E40" s="48" t="s">
        <v>26</v>
      </c>
      <c r="F40" s="33" t="s">
        <v>31</v>
      </c>
      <c r="G40" s="34" t="s">
        <v>61</v>
      </c>
      <c r="H40" s="34">
        <v>7</v>
      </c>
      <c r="I40" s="34" t="s">
        <v>591</v>
      </c>
      <c r="J40" s="35">
        <v>44371</v>
      </c>
      <c r="K40" s="36">
        <v>44376</v>
      </c>
      <c r="L40" s="34" t="s">
        <v>66</v>
      </c>
      <c r="M40" s="36">
        <v>44384</v>
      </c>
      <c r="N40" s="37">
        <f t="shared" si="0"/>
        <v>8</v>
      </c>
      <c r="O40" s="34">
        <v>1</v>
      </c>
      <c r="P40" s="38"/>
      <c r="Q40" s="34" t="s">
        <v>587</v>
      </c>
      <c r="R40" s="34" t="s">
        <v>588</v>
      </c>
      <c r="S40" s="34">
        <f t="shared" si="1"/>
        <v>3.6989700043360187</v>
      </c>
      <c r="T40" s="55">
        <v>5000</v>
      </c>
      <c r="U40" s="55">
        <f t="shared" si="2"/>
        <v>3.6989700043360187</v>
      </c>
      <c r="V40" s="53">
        <v>33</v>
      </c>
      <c r="W40" s="53">
        <v>0</v>
      </c>
      <c r="X40" s="53">
        <v>0</v>
      </c>
      <c r="Y40" s="41">
        <v>0</v>
      </c>
      <c r="Z40" s="156"/>
      <c r="AA40" s="156"/>
      <c r="AB40" s="136">
        <v>11.746205140721599</v>
      </c>
      <c r="AC40" s="136">
        <f t="shared" si="11"/>
        <v>1.069897581276684</v>
      </c>
      <c r="AD40" s="136">
        <v>3430000</v>
      </c>
      <c r="AE40" s="136">
        <f t="shared" si="4"/>
        <v>6.5352941200427708</v>
      </c>
      <c r="AF40" s="136">
        <v>0</v>
      </c>
      <c r="AG40" s="136">
        <v>0</v>
      </c>
      <c r="AH40" s="140">
        <v>4.2787536009528289</v>
      </c>
      <c r="AI40" s="136">
        <f t="shared" ref="AI40:AI41" si="13">LOG10(AH40)</f>
        <v>0.63131727764363377</v>
      </c>
      <c r="AJ40" s="53" t="s">
        <v>29</v>
      </c>
      <c r="AK40" s="53">
        <v>5</v>
      </c>
      <c r="AL40" s="53" t="s">
        <v>30</v>
      </c>
      <c r="AM40" s="138"/>
      <c r="AN40" s="40" t="s">
        <v>462</v>
      </c>
      <c r="AO40" s="40">
        <v>0</v>
      </c>
      <c r="AP40" s="40">
        <v>3</v>
      </c>
      <c r="AQ40" s="105">
        <f t="shared" si="12"/>
        <v>3</v>
      </c>
    </row>
    <row r="41" spans="1:43" ht="15" customHeight="1" thickTop="1" x14ac:dyDescent="0.25">
      <c r="A41" s="32" t="s">
        <v>463</v>
      </c>
      <c r="B41" s="32" t="s">
        <v>112</v>
      </c>
      <c r="C41" s="32" t="s">
        <v>584</v>
      </c>
      <c r="D41" s="32" t="s">
        <v>584</v>
      </c>
      <c r="E41" s="48" t="s">
        <v>26</v>
      </c>
      <c r="F41" s="33" t="s">
        <v>31</v>
      </c>
      <c r="G41" s="34" t="s">
        <v>61</v>
      </c>
      <c r="H41" s="34">
        <v>7</v>
      </c>
      <c r="I41" s="34" t="s">
        <v>591</v>
      </c>
      <c r="J41" s="35">
        <v>44371</v>
      </c>
      <c r="K41" s="36">
        <v>44376</v>
      </c>
      <c r="L41" s="34" t="s">
        <v>66</v>
      </c>
      <c r="M41" s="36">
        <v>44384</v>
      </c>
      <c r="N41" s="37">
        <f t="shared" si="0"/>
        <v>8</v>
      </c>
      <c r="O41" s="34">
        <v>1</v>
      </c>
      <c r="P41" s="38"/>
      <c r="Q41" s="34" t="s">
        <v>587</v>
      </c>
      <c r="R41" s="34" t="s">
        <v>588</v>
      </c>
      <c r="S41" s="34">
        <f t="shared" si="1"/>
        <v>3.6989700043360187</v>
      </c>
      <c r="T41" s="55">
        <v>5000</v>
      </c>
      <c r="U41" s="55">
        <f t="shared" si="2"/>
        <v>3.6989700043360187</v>
      </c>
      <c r="V41" s="41">
        <v>27</v>
      </c>
      <c r="W41" s="41">
        <v>0</v>
      </c>
      <c r="X41" s="41">
        <v>0</v>
      </c>
      <c r="Y41" s="41">
        <v>0</v>
      </c>
      <c r="Z41" s="156"/>
      <c r="AA41" s="156"/>
      <c r="AB41" s="136">
        <v>12.3404441148401</v>
      </c>
      <c r="AC41" s="136">
        <f t="shared" si="11"/>
        <v>1.0913307896124311</v>
      </c>
      <c r="AD41" s="136">
        <v>9240000</v>
      </c>
      <c r="AE41" s="136">
        <f t="shared" si="4"/>
        <v>6.9656719712201065</v>
      </c>
      <c r="AF41" s="136">
        <v>0</v>
      </c>
      <c r="AG41" s="136">
        <v>0</v>
      </c>
      <c r="AH41" s="140">
        <v>3.0413926851582249</v>
      </c>
      <c r="AI41" s="136">
        <f t="shared" si="13"/>
        <v>0.48307249708832406</v>
      </c>
      <c r="AJ41" s="53" t="s">
        <v>29</v>
      </c>
      <c r="AK41" s="53">
        <v>5</v>
      </c>
      <c r="AL41" s="53" t="s">
        <v>30</v>
      </c>
      <c r="AM41" s="138"/>
      <c r="AN41" s="40" t="s">
        <v>463</v>
      </c>
      <c r="AO41" s="40">
        <v>0</v>
      </c>
      <c r="AP41" s="40">
        <v>3</v>
      </c>
      <c r="AQ41" s="18">
        <f t="shared" si="12"/>
        <v>3</v>
      </c>
    </row>
    <row r="42" spans="1:43" s="3" customFormat="1" ht="15" customHeight="1" thickBot="1" x14ac:dyDescent="0.3">
      <c r="A42" s="315" t="s">
        <v>464</v>
      </c>
      <c r="B42" s="315" t="s">
        <v>112</v>
      </c>
      <c r="C42" s="315" t="s">
        <v>584</v>
      </c>
      <c r="D42" s="315" t="s">
        <v>584</v>
      </c>
      <c r="E42" s="316" t="s">
        <v>26</v>
      </c>
      <c r="F42" s="316" t="s">
        <v>26</v>
      </c>
      <c r="G42" s="316" t="s">
        <v>61</v>
      </c>
      <c r="H42" s="316">
        <v>7</v>
      </c>
      <c r="I42" s="316" t="s">
        <v>591</v>
      </c>
      <c r="J42" s="317">
        <v>44371</v>
      </c>
      <c r="K42" s="318">
        <v>44376</v>
      </c>
      <c r="L42" s="316" t="s">
        <v>66</v>
      </c>
      <c r="M42" s="318">
        <v>44384</v>
      </c>
      <c r="N42" s="319">
        <f t="shared" si="0"/>
        <v>8</v>
      </c>
      <c r="O42" s="316">
        <v>1</v>
      </c>
      <c r="P42" s="308"/>
      <c r="Q42" s="316" t="s">
        <v>110</v>
      </c>
      <c r="R42" s="316" t="s">
        <v>110</v>
      </c>
      <c r="S42" s="316">
        <f t="shared" si="1"/>
        <v>3.6989700043360187</v>
      </c>
      <c r="T42" s="320">
        <v>5000</v>
      </c>
      <c r="U42" s="320">
        <f t="shared" si="2"/>
        <v>3.6989700043360187</v>
      </c>
      <c r="V42" s="321">
        <v>2</v>
      </c>
      <c r="W42" s="321">
        <v>0</v>
      </c>
      <c r="X42" s="322" t="s">
        <v>624</v>
      </c>
      <c r="Y42" s="321">
        <v>0</v>
      </c>
      <c r="Z42" s="323"/>
      <c r="AA42" s="323"/>
      <c r="AB42" s="323"/>
      <c r="AC42" s="323"/>
      <c r="AD42" s="323">
        <v>0</v>
      </c>
      <c r="AE42" s="323"/>
      <c r="AF42" s="323">
        <v>0</v>
      </c>
      <c r="AG42" s="323">
        <v>0</v>
      </c>
      <c r="AH42" s="324"/>
      <c r="AI42" s="323"/>
      <c r="AJ42" s="325" t="s">
        <v>29</v>
      </c>
      <c r="AK42" s="325">
        <v>5</v>
      </c>
      <c r="AL42" s="325" t="s">
        <v>30</v>
      </c>
      <c r="AM42" s="326"/>
      <c r="AN42" s="325" t="s">
        <v>464</v>
      </c>
      <c r="AO42" s="325">
        <v>0</v>
      </c>
      <c r="AP42" s="325">
        <v>0</v>
      </c>
      <c r="AQ42" s="34">
        <f t="shared" si="12"/>
        <v>4</v>
      </c>
    </row>
    <row r="43" spans="1:43" ht="15" customHeight="1" thickTop="1" x14ac:dyDescent="0.25">
      <c r="A43" s="78" t="s">
        <v>465</v>
      </c>
      <c r="B43" s="78" t="s">
        <v>42</v>
      </c>
      <c r="C43" s="78" t="s">
        <v>589</v>
      </c>
      <c r="D43" s="78" t="s">
        <v>589</v>
      </c>
      <c r="E43" s="79" t="s">
        <v>31</v>
      </c>
      <c r="F43" s="79" t="s">
        <v>31</v>
      </c>
      <c r="G43" s="89" t="s">
        <v>600</v>
      </c>
      <c r="H43" s="89">
        <v>45</v>
      </c>
      <c r="I43" s="89" t="s">
        <v>586</v>
      </c>
      <c r="J43" s="160">
        <v>44508</v>
      </c>
      <c r="K43" s="161">
        <v>44512</v>
      </c>
      <c r="L43" s="89" t="s">
        <v>66</v>
      </c>
      <c r="M43" s="161">
        <v>44580</v>
      </c>
      <c r="N43" s="84">
        <f t="shared" si="0"/>
        <v>68</v>
      </c>
      <c r="O43" s="89">
        <v>1</v>
      </c>
      <c r="P43" s="85" t="s">
        <v>625</v>
      </c>
      <c r="Q43" s="89" t="s">
        <v>588</v>
      </c>
      <c r="R43" s="89" t="s">
        <v>588</v>
      </c>
      <c r="S43" s="89">
        <f t="shared" si="1"/>
        <v>5</v>
      </c>
      <c r="T43" s="89">
        <v>100000</v>
      </c>
      <c r="U43" s="89">
        <f t="shared" si="2"/>
        <v>5</v>
      </c>
      <c r="V43" s="89">
        <v>14</v>
      </c>
      <c r="W43" s="89">
        <v>1</v>
      </c>
      <c r="X43" s="89" t="s">
        <v>626</v>
      </c>
      <c r="Y43" s="89">
        <v>0</v>
      </c>
      <c r="Z43" s="162"/>
      <c r="AA43" s="162"/>
      <c r="AB43" s="162"/>
      <c r="AC43" s="162"/>
      <c r="AD43" s="162"/>
      <c r="AE43" s="162"/>
      <c r="AF43" s="18">
        <v>1.6989700043360187</v>
      </c>
      <c r="AG43" s="89">
        <f t="shared" si="5"/>
        <v>0.23018571137855465</v>
      </c>
      <c r="AH43" s="80">
        <v>2.6989700043360187</v>
      </c>
      <c r="AI43" s="89">
        <f>LOG10(AH43)</f>
        <v>0.4311980579452766</v>
      </c>
      <c r="AJ43" s="89" t="s">
        <v>29</v>
      </c>
      <c r="AK43" s="89">
        <v>4</v>
      </c>
      <c r="AL43" s="163"/>
      <c r="AM43" s="164"/>
      <c r="AN43" s="80" t="s">
        <v>465</v>
      </c>
      <c r="AO43" s="80">
        <v>3</v>
      </c>
      <c r="AP43" s="80">
        <v>4</v>
      </c>
      <c r="AQ43" s="34">
        <f t="shared" si="12"/>
        <v>3</v>
      </c>
    </row>
    <row r="44" spans="1:43" ht="15" customHeight="1" thickBot="1" x14ac:dyDescent="0.3">
      <c r="A44" s="103" t="s">
        <v>466</v>
      </c>
      <c r="B44" s="103" t="s">
        <v>42</v>
      </c>
      <c r="C44" s="103" t="s">
        <v>589</v>
      </c>
      <c r="D44" s="103" t="s">
        <v>589</v>
      </c>
      <c r="E44" s="104" t="s">
        <v>31</v>
      </c>
      <c r="F44" s="104" t="s">
        <v>31</v>
      </c>
      <c r="G44" s="114" t="s">
        <v>600</v>
      </c>
      <c r="H44" s="114">
        <v>48</v>
      </c>
      <c r="I44" s="114" t="s">
        <v>586</v>
      </c>
      <c r="J44" s="165">
        <v>44508</v>
      </c>
      <c r="K44" s="166">
        <v>44512</v>
      </c>
      <c r="L44" s="114" t="s">
        <v>66</v>
      </c>
      <c r="M44" s="166">
        <v>44580</v>
      </c>
      <c r="N44" s="84">
        <f t="shared" si="0"/>
        <v>68</v>
      </c>
      <c r="O44" s="114">
        <v>1</v>
      </c>
      <c r="P44" s="110"/>
      <c r="Q44" s="114" t="s">
        <v>588</v>
      </c>
      <c r="R44" s="114" t="s">
        <v>588</v>
      </c>
      <c r="S44" s="114">
        <f t="shared" si="1"/>
        <v>5</v>
      </c>
      <c r="T44" s="114">
        <v>100000</v>
      </c>
      <c r="U44" s="114">
        <f t="shared" si="2"/>
        <v>5</v>
      </c>
      <c r="V44" s="114">
        <v>24</v>
      </c>
      <c r="W44" s="114">
        <v>1</v>
      </c>
      <c r="X44" s="114" t="s">
        <v>627</v>
      </c>
      <c r="Y44" s="114">
        <v>0</v>
      </c>
      <c r="Z44" s="167"/>
      <c r="AA44" s="167"/>
      <c r="AB44" s="168"/>
      <c r="AC44" s="167"/>
      <c r="AD44" s="167"/>
      <c r="AE44" s="167"/>
      <c r="AF44" s="61">
        <v>3.6989700043360187</v>
      </c>
      <c r="AG44" s="114">
        <f t="shared" si="5"/>
        <v>0.56808080955162898</v>
      </c>
      <c r="AH44" s="105">
        <v>1.6989700043360187</v>
      </c>
      <c r="AI44" s="169">
        <f>LOG10(AH44)</f>
        <v>0.23018571137855465</v>
      </c>
      <c r="AJ44" s="114" t="s">
        <v>29</v>
      </c>
      <c r="AK44" s="114">
        <v>4</v>
      </c>
      <c r="AL44" s="170"/>
      <c r="AM44" s="171"/>
      <c r="AN44" s="105" t="s">
        <v>466</v>
      </c>
      <c r="AO44" s="105">
        <v>3</v>
      </c>
      <c r="AP44" s="105">
        <v>3</v>
      </c>
      <c r="AQ44" s="34">
        <f t="shared" si="12"/>
        <v>0</v>
      </c>
    </row>
    <row r="45" spans="1:43" ht="15" customHeight="1" thickTop="1" x14ac:dyDescent="0.25">
      <c r="A45" s="15" t="s">
        <v>467</v>
      </c>
      <c r="B45" s="15" t="s">
        <v>176</v>
      </c>
      <c r="C45" s="15" t="s">
        <v>584</v>
      </c>
      <c r="D45" s="15" t="s">
        <v>584</v>
      </c>
      <c r="E45" s="16" t="s">
        <v>26</v>
      </c>
      <c r="F45" s="17" t="s">
        <v>31</v>
      </c>
      <c r="G45" s="18" t="s">
        <v>61</v>
      </c>
      <c r="H45" s="18" t="s">
        <v>596</v>
      </c>
      <c r="I45" s="18" t="s">
        <v>597</v>
      </c>
      <c r="J45" s="19">
        <v>44534</v>
      </c>
      <c r="K45" s="20">
        <v>44537</v>
      </c>
      <c r="L45" s="18" t="s">
        <v>66</v>
      </c>
      <c r="M45" s="20">
        <v>44580</v>
      </c>
      <c r="N45" s="21">
        <f t="shared" si="0"/>
        <v>43</v>
      </c>
      <c r="O45" s="18">
        <v>1</v>
      </c>
      <c r="P45" s="118" t="s">
        <v>628</v>
      </c>
      <c r="Q45" s="18" t="s">
        <v>613</v>
      </c>
      <c r="R45" s="18" t="s">
        <v>588</v>
      </c>
      <c r="S45" s="18">
        <f t="shared" si="1"/>
        <v>3.6989700043360187</v>
      </c>
      <c r="T45" s="120">
        <v>5000</v>
      </c>
      <c r="U45" s="120">
        <f t="shared" si="2"/>
        <v>3.6989700043360187</v>
      </c>
      <c r="V45" s="25">
        <v>12</v>
      </c>
      <c r="W45" s="25">
        <v>0</v>
      </c>
      <c r="X45" s="25">
        <v>0</v>
      </c>
      <c r="Y45" s="25">
        <v>1</v>
      </c>
      <c r="Z45" s="122">
        <v>1622665.4903276761</v>
      </c>
      <c r="AA45" s="122">
        <f t="shared" si="3"/>
        <v>6.2102290000000018</v>
      </c>
      <c r="AB45" s="172">
        <v>11.954870222007395</v>
      </c>
      <c r="AC45" s="122">
        <f>LOG10(AB45)</f>
        <v>1.0775448659246516</v>
      </c>
      <c r="AD45" s="120">
        <v>8940000</v>
      </c>
      <c r="AE45" s="120">
        <f t="shared" si="4"/>
        <v>6.9513375187959179</v>
      </c>
      <c r="AF45" s="173"/>
      <c r="AG45" s="174"/>
      <c r="AH45" s="175">
        <v>4.7403626894942441</v>
      </c>
      <c r="AI45" s="119">
        <f>LOG10(AH45)</f>
        <v>0.675811571214184</v>
      </c>
      <c r="AJ45" s="25" t="s">
        <v>29</v>
      </c>
      <c r="AK45" s="25">
        <v>2</v>
      </c>
      <c r="AL45" s="25" t="s">
        <v>30</v>
      </c>
      <c r="AM45" s="155"/>
      <c r="AN45" s="24" t="s">
        <v>467</v>
      </c>
      <c r="AO45" s="24">
        <v>0</v>
      </c>
      <c r="AP45" s="24">
        <v>3</v>
      </c>
      <c r="AQ45" s="34">
        <f t="shared" si="12"/>
        <v>0</v>
      </c>
    </row>
    <row r="46" spans="1:43" ht="15" customHeight="1" x14ac:dyDescent="0.25">
      <c r="A46" s="32" t="s">
        <v>468</v>
      </c>
      <c r="B46" s="32" t="s">
        <v>176</v>
      </c>
      <c r="C46" s="32" t="s">
        <v>589</v>
      </c>
      <c r="D46" s="32" t="s">
        <v>584</v>
      </c>
      <c r="E46" s="33" t="s">
        <v>31</v>
      </c>
      <c r="F46" s="33" t="s">
        <v>31</v>
      </c>
      <c r="G46" s="34" t="s">
        <v>61</v>
      </c>
      <c r="H46" s="34" t="s">
        <v>596</v>
      </c>
      <c r="I46" s="34" t="s">
        <v>597</v>
      </c>
      <c r="J46" s="35">
        <v>44534</v>
      </c>
      <c r="K46" s="36">
        <v>44540</v>
      </c>
      <c r="L46" s="34" t="s">
        <v>66</v>
      </c>
      <c r="M46" s="36">
        <v>44580</v>
      </c>
      <c r="N46" s="37">
        <f t="shared" si="0"/>
        <v>40</v>
      </c>
      <c r="O46" s="34">
        <v>1</v>
      </c>
      <c r="P46" s="97"/>
      <c r="Q46" s="34" t="s">
        <v>613</v>
      </c>
      <c r="R46" s="34" t="s">
        <v>588</v>
      </c>
      <c r="S46" s="34">
        <f t="shared" si="1"/>
        <v>3.6989700043360187</v>
      </c>
      <c r="T46" s="55">
        <v>5000</v>
      </c>
      <c r="U46" s="55">
        <f t="shared" si="2"/>
        <v>3.6989700043360187</v>
      </c>
      <c r="V46" s="53">
        <v>12</v>
      </c>
      <c r="W46" s="41">
        <v>2</v>
      </c>
      <c r="X46" s="42" t="s">
        <v>629</v>
      </c>
      <c r="Y46" s="53">
        <v>3</v>
      </c>
      <c r="Z46" s="56">
        <v>38708.291239221558</v>
      </c>
      <c r="AA46" s="56">
        <f t="shared" si="3"/>
        <v>4.587804000000002</v>
      </c>
      <c r="AB46" s="176">
        <v>11.336942365707197</v>
      </c>
      <c r="AC46" s="56">
        <f t="shared" ref="AC46:AC109" si="14">LOG10(AB46)</f>
        <v>1.0544959387934241</v>
      </c>
      <c r="AD46" s="55">
        <v>3670000000000</v>
      </c>
      <c r="AE46" s="55">
        <f t="shared" si="4"/>
        <v>12.564666064252089</v>
      </c>
      <c r="AF46" s="49">
        <v>6.5051499783199063</v>
      </c>
      <c r="AG46" s="55">
        <f t="shared" ref="AG46" si="15">LOG10(AF46)</f>
        <v>0.81325731381165323</v>
      </c>
      <c r="AH46" s="176">
        <v>2.6627578316815739</v>
      </c>
      <c r="AI46" s="89">
        <f t="shared" ref="AI46:AI47" si="16">LOG10(AH46)</f>
        <v>0.42533167070226652</v>
      </c>
      <c r="AJ46" s="53" t="s">
        <v>29</v>
      </c>
      <c r="AK46" s="53">
        <v>5</v>
      </c>
      <c r="AL46" s="53" t="s">
        <v>30</v>
      </c>
      <c r="AM46" s="138"/>
      <c r="AN46" s="40" t="s">
        <v>468</v>
      </c>
      <c r="AO46" s="40">
        <v>5</v>
      </c>
      <c r="AP46" s="40">
        <v>4</v>
      </c>
      <c r="AQ46" s="34">
        <f t="shared" si="12"/>
        <v>2</v>
      </c>
    </row>
    <row r="47" spans="1:43" ht="15" customHeight="1" x14ac:dyDescent="0.25">
      <c r="A47" s="32" t="s">
        <v>469</v>
      </c>
      <c r="B47" s="32" t="s">
        <v>176</v>
      </c>
      <c r="C47" s="32" t="s">
        <v>584</v>
      </c>
      <c r="D47" s="32" t="s">
        <v>584</v>
      </c>
      <c r="E47" s="48" t="s">
        <v>26</v>
      </c>
      <c r="F47" s="33" t="s">
        <v>31</v>
      </c>
      <c r="G47" s="34" t="s">
        <v>61</v>
      </c>
      <c r="H47" s="34" t="s">
        <v>596</v>
      </c>
      <c r="I47" s="34" t="s">
        <v>597</v>
      </c>
      <c r="J47" s="35">
        <v>44534</v>
      </c>
      <c r="K47" s="36">
        <v>44537</v>
      </c>
      <c r="L47" s="34" t="s">
        <v>66</v>
      </c>
      <c r="M47" s="36">
        <v>44580</v>
      </c>
      <c r="N47" s="37">
        <f t="shared" si="0"/>
        <v>43</v>
      </c>
      <c r="O47" s="34">
        <v>1</v>
      </c>
      <c r="P47" s="97"/>
      <c r="Q47" s="34" t="s">
        <v>588</v>
      </c>
      <c r="R47" s="34" t="s">
        <v>588</v>
      </c>
      <c r="S47" s="34">
        <f t="shared" si="1"/>
        <v>3.6989700043360187</v>
      </c>
      <c r="T47" s="55">
        <v>5000</v>
      </c>
      <c r="U47" s="55">
        <f t="shared" si="2"/>
        <v>3.6989700043360187</v>
      </c>
      <c r="V47" s="53">
        <v>0</v>
      </c>
      <c r="W47" s="53">
        <v>0</v>
      </c>
      <c r="X47" s="53">
        <v>0</v>
      </c>
      <c r="Y47" s="53">
        <v>0</v>
      </c>
      <c r="Z47" s="56">
        <v>754760.21583466604</v>
      </c>
      <c r="AA47" s="56">
        <f t="shared" si="3"/>
        <v>5.8778090000000018</v>
      </c>
      <c r="AB47" s="56">
        <v>10.905604539187699</v>
      </c>
      <c r="AC47" s="56">
        <f t="shared" si="14"/>
        <v>1.0376497451789244</v>
      </c>
      <c r="AD47" s="55">
        <v>110000000</v>
      </c>
      <c r="AE47" s="55">
        <f t="shared" si="4"/>
        <v>8.0413926851582254</v>
      </c>
      <c r="AF47" s="101"/>
      <c r="AG47" s="177"/>
      <c r="AH47" s="178">
        <v>5.5622928644564746</v>
      </c>
      <c r="AI47" s="89">
        <f t="shared" si="16"/>
        <v>0.74525385149487233</v>
      </c>
      <c r="AJ47" s="53" t="s">
        <v>60</v>
      </c>
      <c r="AK47" s="53">
        <v>2</v>
      </c>
      <c r="AL47" s="53" t="s">
        <v>30</v>
      </c>
      <c r="AM47" s="138"/>
      <c r="AN47" s="40" t="s">
        <v>469</v>
      </c>
      <c r="AO47" s="40">
        <v>0</v>
      </c>
      <c r="AP47" s="40">
        <v>3</v>
      </c>
      <c r="AQ47" s="34">
        <f t="shared" si="12"/>
        <v>0</v>
      </c>
    </row>
    <row r="48" spans="1:43" ht="15" customHeight="1" thickBot="1" x14ac:dyDescent="0.3">
      <c r="A48" s="32" t="s">
        <v>470</v>
      </c>
      <c r="B48" s="32" t="s">
        <v>176</v>
      </c>
      <c r="C48" s="32" t="s">
        <v>584</v>
      </c>
      <c r="D48" s="32" t="s">
        <v>584</v>
      </c>
      <c r="E48" s="48" t="s">
        <v>26</v>
      </c>
      <c r="F48" s="48" t="s">
        <v>26</v>
      </c>
      <c r="G48" s="34" t="s">
        <v>61</v>
      </c>
      <c r="H48" s="34" t="s">
        <v>596</v>
      </c>
      <c r="I48" s="34" t="s">
        <v>597</v>
      </c>
      <c r="J48" s="35">
        <v>44534</v>
      </c>
      <c r="K48" s="36">
        <v>44547</v>
      </c>
      <c r="L48" s="34" t="s">
        <v>66</v>
      </c>
      <c r="M48" s="36">
        <v>44580</v>
      </c>
      <c r="N48" s="37">
        <f t="shared" si="0"/>
        <v>33</v>
      </c>
      <c r="O48" s="34">
        <v>1</v>
      </c>
      <c r="P48" s="97"/>
      <c r="Q48" s="34" t="s">
        <v>588</v>
      </c>
      <c r="R48" s="34" t="s">
        <v>588</v>
      </c>
      <c r="S48" s="34">
        <f t="shared" si="1"/>
        <v>3.6989700043360187</v>
      </c>
      <c r="T48" s="55">
        <v>5000</v>
      </c>
      <c r="U48" s="55">
        <f t="shared" si="2"/>
        <v>3.6989700043360187</v>
      </c>
      <c r="V48" s="53">
        <v>15</v>
      </c>
      <c r="W48" s="53">
        <v>0</v>
      </c>
      <c r="X48" s="53">
        <v>0</v>
      </c>
      <c r="Y48" s="53">
        <v>0</v>
      </c>
      <c r="Z48" s="56">
        <v>1</v>
      </c>
      <c r="AA48" s="56">
        <f t="shared" si="3"/>
        <v>0</v>
      </c>
      <c r="AB48" s="56">
        <v>7.3140214828410599</v>
      </c>
      <c r="AC48" s="56">
        <f t="shared" si="14"/>
        <v>0.86415623161942046</v>
      </c>
      <c r="AD48" s="55">
        <v>9010000000</v>
      </c>
      <c r="AE48" s="55">
        <f t="shared" si="4"/>
        <v>9.9547247909790624</v>
      </c>
      <c r="AF48" s="49">
        <v>0</v>
      </c>
      <c r="AG48" s="56">
        <v>0</v>
      </c>
      <c r="AH48" s="54">
        <v>0</v>
      </c>
      <c r="AI48" s="54">
        <v>0</v>
      </c>
      <c r="AJ48" s="53" t="s">
        <v>60</v>
      </c>
      <c r="AK48" s="53">
        <v>13</v>
      </c>
      <c r="AL48" s="53" t="s">
        <v>30</v>
      </c>
      <c r="AM48" s="138"/>
      <c r="AN48" s="40" t="s">
        <v>470</v>
      </c>
      <c r="AO48" s="40">
        <v>0</v>
      </c>
      <c r="AP48" s="40">
        <v>0</v>
      </c>
      <c r="AQ48" s="61">
        <f t="shared" si="12"/>
        <v>2</v>
      </c>
    </row>
    <row r="49" spans="1:43" ht="15" customHeight="1" thickTop="1" x14ac:dyDescent="0.25">
      <c r="A49" s="32" t="s">
        <v>471</v>
      </c>
      <c r="B49" s="32" t="s">
        <v>176</v>
      </c>
      <c r="C49" s="32" t="s">
        <v>589</v>
      </c>
      <c r="D49" s="32" t="s">
        <v>589</v>
      </c>
      <c r="E49" s="33" t="s">
        <v>31</v>
      </c>
      <c r="F49" s="48" t="s">
        <v>26</v>
      </c>
      <c r="G49" s="34" t="s">
        <v>600</v>
      </c>
      <c r="H49" s="34" t="s">
        <v>596</v>
      </c>
      <c r="I49" s="34" t="s">
        <v>597</v>
      </c>
      <c r="J49" s="35">
        <v>44534</v>
      </c>
      <c r="K49" s="36">
        <v>44547</v>
      </c>
      <c r="L49" s="34" t="s">
        <v>66</v>
      </c>
      <c r="M49" s="36">
        <v>44580</v>
      </c>
      <c r="N49" s="37">
        <f t="shared" si="0"/>
        <v>33</v>
      </c>
      <c r="O49" s="34">
        <v>1</v>
      </c>
      <c r="P49" s="97"/>
      <c r="Q49" s="34" t="s">
        <v>588</v>
      </c>
      <c r="R49" s="34" t="s">
        <v>588</v>
      </c>
      <c r="S49" s="34">
        <f t="shared" si="1"/>
        <v>3.6989700043360187</v>
      </c>
      <c r="T49" s="55">
        <v>5000</v>
      </c>
      <c r="U49" s="55">
        <f t="shared" si="2"/>
        <v>3.6989700043360187</v>
      </c>
      <c r="V49" s="49">
        <v>10</v>
      </c>
      <c r="W49" s="41">
        <v>3</v>
      </c>
      <c r="X49" s="41" t="s">
        <v>630</v>
      </c>
      <c r="Y49" s="49">
        <v>0</v>
      </c>
      <c r="Z49" s="49">
        <v>0</v>
      </c>
      <c r="AA49" s="125"/>
      <c r="AB49" s="125"/>
      <c r="AC49" s="125"/>
      <c r="AD49" s="49">
        <v>8.266299464921202</v>
      </c>
      <c r="AE49" s="49">
        <f t="shared" si="4"/>
        <v>0.91731113450569313</v>
      </c>
      <c r="AF49" s="49">
        <v>0</v>
      </c>
      <c r="AG49" s="49">
        <v>0</v>
      </c>
      <c r="AH49" s="54">
        <v>0</v>
      </c>
      <c r="AI49" s="54">
        <v>0</v>
      </c>
      <c r="AJ49" s="49" t="s">
        <v>60</v>
      </c>
      <c r="AK49" s="49">
        <v>14</v>
      </c>
      <c r="AL49" s="125"/>
      <c r="AM49" s="179"/>
      <c r="AN49" s="34" t="s">
        <v>471</v>
      </c>
      <c r="AO49" s="34">
        <v>2</v>
      </c>
      <c r="AP49" s="34">
        <v>0</v>
      </c>
      <c r="AQ49" s="80">
        <f t="shared" si="12"/>
        <v>0</v>
      </c>
    </row>
    <row r="50" spans="1:43" ht="15" customHeight="1" x14ac:dyDescent="0.25">
      <c r="A50" s="32" t="s">
        <v>472</v>
      </c>
      <c r="B50" s="32" t="s">
        <v>176</v>
      </c>
      <c r="C50" s="32" t="s">
        <v>584</v>
      </c>
      <c r="D50" s="32" t="s">
        <v>584</v>
      </c>
      <c r="E50" s="48" t="s">
        <v>26</v>
      </c>
      <c r="F50" s="33" t="s">
        <v>31</v>
      </c>
      <c r="G50" s="34" t="s">
        <v>61</v>
      </c>
      <c r="H50" s="34" t="s">
        <v>596</v>
      </c>
      <c r="I50" s="34" t="s">
        <v>597</v>
      </c>
      <c r="J50" s="35">
        <v>44534</v>
      </c>
      <c r="K50" s="36">
        <v>44537</v>
      </c>
      <c r="L50" s="34" t="s">
        <v>66</v>
      </c>
      <c r="M50" s="36">
        <v>44580</v>
      </c>
      <c r="N50" s="37">
        <f t="shared" si="0"/>
        <v>43</v>
      </c>
      <c r="O50" s="34">
        <v>1</v>
      </c>
      <c r="P50" s="97"/>
      <c r="Q50" s="34" t="s">
        <v>588</v>
      </c>
      <c r="R50" s="34" t="s">
        <v>588</v>
      </c>
      <c r="S50" s="34">
        <f t="shared" si="1"/>
        <v>3.6989700043360187</v>
      </c>
      <c r="T50" s="55">
        <v>5000</v>
      </c>
      <c r="U50" s="55">
        <f t="shared" si="2"/>
        <v>3.6989700043360187</v>
      </c>
      <c r="V50" s="53">
        <v>9</v>
      </c>
      <c r="W50" s="53">
        <v>0</v>
      </c>
      <c r="X50" s="53">
        <v>0</v>
      </c>
      <c r="Y50" s="53">
        <v>0</v>
      </c>
      <c r="Z50" s="56">
        <v>684047.09046107624</v>
      </c>
      <c r="AA50" s="56">
        <f t="shared" si="3"/>
        <v>5.8350860000000022</v>
      </c>
      <c r="AB50" s="56">
        <v>10.495376751836901</v>
      </c>
      <c r="AC50" s="56">
        <f t="shared" si="14"/>
        <v>1.0209980330381931</v>
      </c>
      <c r="AD50" s="55">
        <v>4690000</v>
      </c>
      <c r="AE50" s="55">
        <f t="shared" si="4"/>
        <v>6.6711728427150829</v>
      </c>
      <c r="AF50" s="101"/>
      <c r="AG50" s="177"/>
      <c r="AH50" s="178">
        <v>3.3979400086720375</v>
      </c>
      <c r="AI50" s="55">
        <f>LOG10(AH50)</f>
        <v>0.53121570704253585</v>
      </c>
      <c r="AJ50" s="53" t="s">
        <v>60</v>
      </c>
      <c r="AK50" s="53">
        <v>2</v>
      </c>
      <c r="AL50" s="53" t="s">
        <v>30</v>
      </c>
      <c r="AM50" s="138"/>
      <c r="AN50" s="40" t="s">
        <v>472</v>
      </c>
      <c r="AO50" s="40">
        <v>0</v>
      </c>
      <c r="AP50" s="40">
        <v>2</v>
      </c>
      <c r="AQ50" s="34">
        <f t="shared" si="12"/>
        <v>1</v>
      </c>
    </row>
    <row r="51" spans="1:43" ht="15" customHeight="1" thickBot="1" x14ac:dyDescent="0.3">
      <c r="A51" s="32" t="s">
        <v>473</v>
      </c>
      <c r="B51" s="32" t="s">
        <v>176</v>
      </c>
      <c r="C51" s="32" t="s">
        <v>584</v>
      </c>
      <c r="D51" s="32" t="s">
        <v>584</v>
      </c>
      <c r="E51" s="48" t="s">
        <v>26</v>
      </c>
      <c r="F51" s="48" t="s">
        <v>26</v>
      </c>
      <c r="G51" s="34" t="s">
        <v>61</v>
      </c>
      <c r="H51" s="34" t="s">
        <v>596</v>
      </c>
      <c r="I51" s="34" t="s">
        <v>597</v>
      </c>
      <c r="J51" s="35">
        <v>44534</v>
      </c>
      <c r="K51" s="36">
        <v>44547</v>
      </c>
      <c r="L51" s="34" t="s">
        <v>66</v>
      </c>
      <c r="M51" s="36">
        <v>44580</v>
      </c>
      <c r="N51" s="37">
        <f t="shared" si="0"/>
        <v>33</v>
      </c>
      <c r="O51" s="34">
        <v>1</v>
      </c>
      <c r="P51" s="97"/>
      <c r="Q51" s="34" t="s">
        <v>588</v>
      </c>
      <c r="R51" s="34" t="s">
        <v>588</v>
      </c>
      <c r="S51" s="34">
        <f t="shared" si="1"/>
        <v>3.6989700043360187</v>
      </c>
      <c r="T51" s="55">
        <v>5000</v>
      </c>
      <c r="U51" s="55">
        <f t="shared" si="2"/>
        <v>3.6989700043360187</v>
      </c>
      <c r="V51" s="53">
        <v>14</v>
      </c>
      <c r="W51" s="53">
        <v>0</v>
      </c>
      <c r="X51" s="53">
        <v>0</v>
      </c>
      <c r="Y51" s="53">
        <v>0</v>
      </c>
      <c r="Z51" s="56">
        <v>1</v>
      </c>
      <c r="AA51" s="56">
        <f t="shared" si="3"/>
        <v>0</v>
      </c>
      <c r="AB51" s="56">
        <v>7.5094554252672401</v>
      </c>
      <c r="AC51" s="56">
        <f t="shared" si="14"/>
        <v>0.87560844374494839</v>
      </c>
      <c r="AD51" s="55">
        <v>1670000</v>
      </c>
      <c r="AE51" s="55">
        <f t="shared" si="4"/>
        <v>6.2227164711475833</v>
      </c>
      <c r="AF51" s="49">
        <v>0</v>
      </c>
      <c r="AG51" s="56">
        <v>0</v>
      </c>
      <c r="AH51" s="54">
        <v>0</v>
      </c>
      <c r="AI51" s="56">
        <v>0</v>
      </c>
      <c r="AJ51" s="53" t="s">
        <v>60</v>
      </c>
      <c r="AK51" s="53">
        <v>13</v>
      </c>
      <c r="AL51" s="53" t="s">
        <v>30</v>
      </c>
      <c r="AM51" s="138"/>
      <c r="AN51" s="40" t="s">
        <v>473</v>
      </c>
      <c r="AO51" s="40">
        <v>0</v>
      </c>
      <c r="AP51" s="40">
        <v>0</v>
      </c>
      <c r="AQ51" s="105">
        <f t="shared" si="12"/>
        <v>4</v>
      </c>
    </row>
    <row r="52" spans="1:43" ht="15" customHeight="1" thickTop="1" thickBot="1" x14ac:dyDescent="0.3">
      <c r="A52" s="58" t="s">
        <v>474</v>
      </c>
      <c r="B52" s="58" t="s">
        <v>176</v>
      </c>
      <c r="C52" s="58" t="s">
        <v>584</v>
      </c>
      <c r="D52" s="58" t="s">
        <v>584</v>
      </c>
      <c r="E52" s="59" t="s">
        <v>26</v>
      </c>
      <c r="F52" s="60" t="s">
        <v>31</v>
      </c>
      <c r="G52" s="61" t="s">
        <v>61</v>
      </c>
      <c r="H52" s="61" t="s">
        <v>596</v>
      </c>
      <c r="I52" s="61" t="s">
        <v>597</v>
      </c>
      <c r="J52" s="62">
        <v>44534</v>
      </c>
      <c r="K52" s="63">
        <v>44537</v>
      </c>
      <c r="L52" s="61" t="s">
        <v>66</v>
      </c>
      <c r="M52" s="63">
        <v>44580</v>
      </c>
      <c r="N52" s="64">
        <f t="shared" si="0"/>
        <v>43</v>
      </c>
      <c r="O52" s="61">
        <v>1</v>
      </c>
      <c r="P52" s="110"/>
      <c r="Q52" s="61" t="s">
        <v>588</v>
      </c>
      <c r="R52" s="61" t="s">
        <v>588</v>
      </c>
      <c r="S52" s="61">
        <f t="shared" si="1"/>
        <v>3.6989700043360187</v>
      </c>
      <c r="T52" s="67">
        <v>5000</v>
      </c>
      <c r="U52" s="67">
        <f t="shared" si="2"/>
        <v>3.6989700043360187</v>
      </c>
      <c r="V52" s="68">
        <v>4</v>
      </c>
      <c r="W52" s="68">
        <v>0</v>
      </c>
      <c r="X52" s="68">
        <v>0</v>
      </c>
      <c r="Y52" s="68">
        <v>0</v>
      </c>
      <c r="Z52" s="69">
        <v>1022680.5586331795</v>
      </c>
      <c r="AA52" s="69">
        <f t="shared" si="3"/>
        <v>6.0097400000000016</v>
      </c>
      <c r="AB52" s="69">
        <v>10.9046693725795</v>
      </c>
      <c r="AC52" s="69">
        <f t="shared" si="14"/>
        <v>1.0376125023914662</v>
      </c>
      <c r="AD52" s="67">
        <v>715000000</v>
      </c>
      <c r="AE52" s="67">
        <f t="shared" si="4"/>
        <v>8.8543060418010811</v>
      </c>
      <c r="AF52" s="168"/>
      <c r="AG52" s="180"/>
      <c r="AH52" s="181">
        <v>2.9030899869919438</v>
      </c>
      <c r="AI52" s="67">
        <f>LOG10(AH52)</f>
        <v>0.46286049785314942</v>
      </c>
      <c r="AJ52" s="68" t="s">
        <v>60</v>
      </c>
      <c r="AK52" s="68">
        <v>2</v>
      </c>
      <c r="AL52" s="68" t="s">
        <v>30</v>
      </c>
      <c r="AM52" s="159"/>
      <c r="AN52" s="76" t="s">
        <v>474</v>
      </c>
      <c r="AO52" s="76">
        <v>0</v>
      </c>
      <c r="AP52" s="76">
        <v>2</v>
      </c>
      <c r="AQ52" s="196">
        <f t="shared" si="12"/>
        <v>0</v>
      </c>
    </row>
    <row r="53" spans="1:43" ht="15" customHeight="1" thickTop="1" x14ac:dyDescent="0.25">
      <c r="A53" s="78" t="s">
        <v>476</v>
      </c>
      <c r="B53" s="78" t="s">
        <v>475</v>
      </c>
      <c r="C53" s="78" t="s">
        <v>589</v>
      </c>
      <c r="D53" s="78" t="s">
        <v>589</v>
      </c>
      <c r="E53" s="182" t="s">
        <v>26</v>
      </c>
      <c r="F53" s="182" t="s">
        <v>26</v>
      </c>
      <c r="G53" s="80" t="s">
        <v>600</v>
      </c>
      <c r="H53" s="80">
        <v>44</v>
      </c>
      <c r="I53" s="80" t="s">
        <v>586</v>
      </c>
      <c r="J53" s="81">
        <v>44832</v>
      </c>
      <c r="K53" s="82">
        <v>44838</v>
      </c>
      <c r="L53" s="80" t="s">
        <v>66</v>
      </c>
      <c r="M53" s="82">
        <v>44848</v>
      </c>
      <c r="N53" s="84">
        <f t="shared" si="0"/>
        <v>10</v>
      </c>
      <c r="O53" s="80">
        <v>1</v>
      </c>
      <c r="P53" s="129"/>
      <c r="Q53" s="80" t="s">
        <v>613</v>
      </c>
      <c r="R53" s="80" t="s">
        <v>588</v>
      </c>
      <c r="S53" s="89">
        <f t="shared" si="1"/>
        <v>3.6988831367525901</v>
      </c>
      <c r="T53" s="88">
        <v>4999</v>
      </c>
      <c r="U53" s="88">
        <f t="shared" si="2"/>
        <v>3.6988831367525901</v>
      </c>
      <c r="V53" s="90">
        <v>0</v>
      </c>
      <c r="W53" s="90">
        <v>0</v>
      </c>
      <c r="X53" s="90">
        <v>0</v>
      </c>
      <c r="Y53" s="130">
        <v>0</v>
      </c>
      <c r="Z53" s="131">
        <v>0</v>
      </c>
      <c r="AA53" s="131">
        <v>0</v>
      </c>
      <c r="AB53" s="131">
        <v>0</v>
      </c>
      <c r="AC53" s="131">
        <v>0</v>
      </c>
      <c r="AD53" s="131">
        <v>0</v>
      </c>
      <c r="AE53" s="131">
        <v>0</v>
      </c>
      <c r="AF53" s="123">
        <v>0</v>
      </c>
      <c r="AG53" s="130">
        <v>0</v>
      </c>
      <c r="AH53" s="130">
        <v>0</v>
      </c>
      <c r="AI53" s="130">
        <v>0</v>
      </c>
      <c r="AJ53" s="130" t="s">
        <v>60</v>
      </c>
      <c r="AK53" s="130">
        <v>6</v>
      </c>
      <c r="AL53" s="130" t="s">
        <v>30</v>
      </c>
      <c r="AM53" s="133"/>
      <c r="AN53" s="134" t="s">
        <v>476</v>
      </c>
      <c r="AO53" s="134">
        <v>0</v>
      </c>
      <c r="AP53" s="134">
        <v>0</v>
      </c>
      <c r="AQ53" s="80">
        <f t="shared" si="12"/>
        <v>3</v>
      </c>
    </row>
    <row r="54" spans="1:43" ht="15" customHeight="1" x14ac:dyDescent="0.25">
      <c r="A54" s="32" t="s">
        <v>477</v>
      </c>
      <c r="B54" s="32" t="s">
        <v>475</v>
      </c>
      <c r="C54" s="32" t="s">
        <v>589</v>
      </c>
      <c r="D54" s="32" t="s">
        <v>589</v>
      </c>
      <c r="E54" s="48" t="s">
        <v>26</v>
      </c>
      <c r="F54" s="33" t="s">
        <v>31</v>
      </c>
      <c r="G54" s="34" t="s">
        <v>600</v>
      </c>
      <c r="H54" s="34">
        <v>45</v>
      </c>
      <c r="I54" s="34" t="s">
        <v>586</v>
      </c>
      <c r="J54" s="35">
        <v>44832</v>
      </c>
      <c r="K54" s="36">
        <v>44838</v>
      </c>
      <c r="L54" s="34" t="s">
        <v>66</v>
      </c>
      <c r="M54" s="36">
        <v>44848</v>
      </c>
      <c r="N54" s="37">
        <f t="shared" si="0"/>
        <v>10</v>
      </c>
      <c r="O54" s="34">
        <v>1</v>
      </c>
      <c r="P54" s="38"/>
      <c r="Q54" s="34" t="s">
        <v>613</v>
      </c>
      <c r="R54" s="34" t="s">
        <v>588</v>
      </c>
      <c r="S54" s="49">
        <f t="shared" si="1"/>
        <v>3.6989700043360187</v>
      </c>
      <c r="T54" s="55">
        <v>5000</v>
      </c>
      <c r="U54" s="55">
        <f t="shared" si="2"/>
        <v>3.6989700043360187</v>
      </c>
      <c r="V54" s="53">
        <v>6</v>
      </c>
      <c r="W54" s="53">
        <v>0</v>
      </c>
      <c r="X54" s="53">
        <v>0</v>
      </c>
      <c r="Y54" s="53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46">
        <v>0</v>
      </c>
      <c r="AG54" s="53">
        <v>0</v>
      </c>
      <c r="AH54" s="53">
        <v>0</v>
      </c>
      <c r="AI54" s="53">
        <v>0</v>
      </c>
      <c r="AJ54" s="53" t="s">
        <v>60</v>
      </c>
      <c r="AK54" s="53">
        <v>6</v>
      </c>
      <c r="AL54" s="53" t="s">
        <v>30</v>
      </c>
      <c r="AM54" s="138"/>
      <c r="AN54" s="40" t="s">
        <v>477</v>
      </c>
      <c r="AO54" s="40">
        <v>0</v>
      </c>
      <c r="AP54" s="40">
        <v>1</v>
      </c>
      <c r="AQ54" s="34">
        <f t="shared" si="12"/>
        <v>3</v>
      </c>
    </row>
    <row r="55" spans="1:43" ht="15" customHeight="1" thickBot="1" x14ac:dyDescent="0.3">
      <c r="A55" s="103" t="s">
        <v>478</v>
      </c>
      <c r="B55" s="103" t="s">
        <v>475</v>
      </c>
      <c r="C55" s="103" t="s">
        <v>589</v>
      </c>
      <c r="D55" s="103" t="s">
        <v>589</v>
      </c>
      <c r="E55" s="141" t="s">
        <v>26</v>
      </c>
      <c r="F55" s="104" t="s">
        <v>31</v>
      </c>
      <c r="G55" s="105" t="s">
        <v>600</v>
      </c>
      <c r="H55" s="105">
        <v>43</v>
      </c>
      <c r="I55" s="105" t="s">
        <v>586</v>
      </c>
      <c r="J55" s="106">
        <v>44832</v>
      </c>
      <c r="K55" s="107">
        <v>44838</v>
      </c>
      <c r="L55" s="105" t="s">
        <v>66</v>
      </c>
      <c r="M55" s="107">
        <v>44848</v>
      </c>
      <c r="N55" s="109">
        <f t="shared" si="0"/>
        <v>10</v>
      </c>
      <c r="O55" s="105">
        <v>1</v>
      </c>
      <c r="P55" s="183"/>
      <c r="Q55" s="105" t="s">
        <v>613</v>
      </c>
      <c r="R55" s="105" t="s">
        <v>588</v>
      </c>
      <c r="S55" s="114">
        <f t="shared" si="1"/>
        <v>3.6989700043360187</v>
      </c>
      <c r="T55" s="113">
        <v>5000</v>
      </c>
      <c r="U55" s="113">
        <f t="shared" si="2"/>
        <v>3.6989700043360187</v>
      </c>
      <c r="V55" s="184">
        <v>33</v>
      </c>
      <c r="W55" s="184">
        <v>0</v>
      </c>
      <c r="X55" s="184">
        <v>0</v>
      </c>
      <c r="Y55" s="142">
        <v>2</v>
      </c>
      <c r="Z55" s="143">
        <v>13566626.000000052</v>
      </c>
      <c r="AA55" s="143">
        <f t="shared" si="3"/>
        <v>7.1324718526872246</v>
      </c>
      <c r="AB55" s="143">
        <v>9.6517746674899296</v>
      </c>
      <c r="AC55" s="143">
        <f t="shared" si="14"/>
        <v>0.98460717421809441</v>
      </c>
      <c r="AD55" s="113">
        <v>277000</v>
      </c>
      <c r="AE55" s="113">
        <f t="shared" si="4"/>
        <v>5.4424797690644482</v>
      </c>
      <c r="AF55" s="185">
        <v>0</v>
      </c>
      <c r="AG55" s="186">
        <v>0</v>
      </c>
      <c r="AH55" s="187">
        <v>4.4909106480119796</v>
      </c>
      <c r="AI55" s="186">
        <f>LOG10(AH55)</f>
        <v>0.65233441434541839</v>
      </c>
      <c r="AJ55" s="142" t="s">
        <v>29</v>
      </c>
      <c r="AK55" s="142">
        <v>6</v>
      </c>
      <c r="AL55" s="142" t="s">
        <v>30</v>
      </c>
      <c r="AM55" s="144"/>
      <c r="AN55" s="145" t="s">
        <v>478</v>
      </c>
      <c r="AO55" s="145">
        <v>0</v>
      </c>
      <c r="AP55" s="145">
        <v>4</v>
      </c>
      <c r="AQ55" s="34">
        <f t="shared" si="12"/>
        <v>4</v>
      </c>
    </row>
    <row r="56" spans="1:43" ht="15" customHeight="1" thickTop="1" thickBot="1" x14ac:dyDescent="0.3">
      <c r="A56" s="188" t="s">
        <v>480</v>
      </c>
      <c r="B56" s="188" t="s">
        <v>479</v>
      </c>
      <c r="C56" s="188" t="s">
        <v>589</v>
      </c>
      <c r="D56" s="188" t="s">
        <v>589</v>
      </c>
      <c r="E56" s="189" t="s">
        <v>31</v>
      </c>
      <c r="F56" s="190" t="s">
        <v>26</v>
      </c>
      <c r="G56" s="191" t="s">
        <v>600</v>
      </c>
      <c r="H56" s="191">
        <v>15</v>
      </c>
      <c r="I56" s="191" t="s">
        <v>591</v>
      </c>
      <c r="J56" s="192">
        <v>44812</v>
      </c>
      <c r="K56" s="192">
        <v>44823</v>
      </c>
      <c r="L56" s="191" t="s">
        <v>66</v>
      </c>
      <c r="M56" s="192">
        <v>44849</v>
      </c>
      <c r="N56" s="193">
        <f t="shared" si="0"/>
        <v>26</v>
      </c>
      <c r="O56" s="191">
        <v>1</v>
      </c>
      <c r="P56" s="194"/>
      <c r="Q56" s="191" t="s">
        <v>631</v>
      </c>
      <c r="R56" s="196" t="s">
        <v>632</v>
      </c>
      <c r="S56" s="191">
        <f t="shared" si="1"/>
        <v>5</v>
      </c>
      <c r="T56" s="191">
        <v>100000</v>
      </c>
      <c r="U56" s="191">
        <f t="shared" si="2"/>
        <v>5</v>
      </c>
      <c r="V56" s="191">
        <v>11</v>
      </c>
      <c r="W56" s="191">
        <v>3</v>
      </c>
      <c r="X56" s="191">
        <v>3</v>
      </c>
      <c r="Y56" s="196">
        <v>2</v>
      </c>
      <c r="Z56" s="196">
        <v>1</v>
      </c>
      <c r="AA56" s="196">
        <f t="shared" si="3"/>
        <v>0</v>
      </c>
      <c r="AB56" s="197"/>
      <c r="AC56" s="198"/>
      <c r="AD56" s="196">
        <v>278800000</v>
      </c>
      <c r="AE56" s="196">
        <f t="shared" si="4"/>
        <v>8.4452927694259721</v>
      </c>
      <c r="AF56" s="199">
        <v>4.1583624920952493</v>
      </c>
      <c r="AG56" s="199"/>
      <c r="AH56" s="199">
        <v>0</v>
      </c>
      <c r="AI56" s="199">
        <v>0</v>
      </c>
      <c r="AJ56" s="191" t="s">
        <v>29</v>
      </c>
      <c r="AK56" s="196">
        <v>11</v>
      </c>
      <c r="AL56" s="198"/>
      <c r="AM56" s="200"/>
      <c r="AN56" s="196" t="s">
        <v>480</v>
      </c>
      <c r="AO56" s="196">
        <v>4</v>
      </c>
      <c r="AP56" s="196">
        <v>0</v>
      </c>
      <c r="AQ56" s="34">
        <f t="shared" si="12"/>
        <v>4</v>
      </c>
    </row>
    <row r="57" spans="1:43" ht="15" customHeight="1" thickTop="1" x14ac:dyDescent="0.25">
      <c r="A57" s="78" t="s">
        <v>310</v>
      </c>
      <c r="B57" s="78" t="s">
        <v>311</v>
      </c>
      <c r="C57" s="78" t="s">
        <v>589</v>
      </c>
      <c r="D57" s="78" t="s">
        <v>589</v>
      </c>
      <c r="E57" s="79" t="s">
        <v>31</v>
      </c>
      <c r="F57" s="79" t="s">
        <v>31</v>
      </c>
      <c r="G57" s="80" t="s">
        <v>61</v>
      </c>
      <c r="H57" s="80">
        <v>12</v>
      </c>
      <c r="I57" s="80" t="s">
        <v>586</v>
      </c>
      <c r="J57" s="81">
        <v>44694</v>
      </c>
      <c r="K57" s="82">
        <v>44699</v>
      </c>
      <c r="L57" s="80" t="s">
        <v>312</v>
      </c>
      <c r="M57" s="82">
        <v>44876</v>
      </c>
      <c r="N57" s="84">
        <f t="shared" si="0"/>
        <v>177</v>
      </c>
      <c r="O57" s="80">
        <v>1</v>
      </c>
      <c r="P57" s="85" t="s">
        <v>633</v>
      </c>
      <c r="Q57" s="80" t="s">
        <v>588</v>
      </c>
      <c r="R57" s="80" t="s">
        <v>588</v>
      </c>
      <c r="S57" s="89">
        <f t="shared" si="1"/>
        <v>4</v>
      </c>
      <c r="T57" s="80">
        <v>10000</v>
      </c>
      <c r="U57" s="80">
        <f t="shared" si="2"/>
        <v>4</v>
      </c>
      <c r="V57" s="80">
        <v>22</v>
      </c>
      <c r="W57" s="89">
        <v>2</v>
      </c>
      <c r="X57" s="89">
        <v>2</v>
      </c>
      <c r="Y57" s="80">
        <v>1</v>
      </c>
      <c r="Z57" s="80">
        <v>6.2111839763470531</v>
      </c>
      <c r="AA57" s="80">
        <f t="shared" si="3"/>
        <v>0.79317439331397599</v>
      </c>
      <c r="AB57" s="163"/>
      <c r="AC57" s="163"/>
      <c r="AD57" s="80">
        <v>8.7474109137080163</v>
      </c>
      <c r="AE57" s="80">
        <f t="shared" si="4"/>
        <v>0.94187952819043597</v>
      </c>
      <c r="AF57" s="80">
        <v>6.3979400086720375</v>
      </c>
      <c r="AG57" s="80">
        <f t="shared" si="5"/>
        <v>0.80604016353413932</v>
      </c>
      <c r="AH57" s="89">
        <v>4.4771212547196626</v>
      </c>
      <c r="AI57" s="80">
        <f>LOG10(AH57)</f>
        <v>0.6509988566221192</v>
      </c>
      <c r="AJ57" s="89" t="s">
        <v>29</v>
      </c>
      <c r="AK57" s="80">
        <v>5</v>
      </c>
      <c r="AL57" s="163"/>
      <c r="AM57" s="95" t="s">
        <v>634</v>
      </c>
      <c r="AN57" s="80" t="s">
        <v>310</v>
      </c>
      <c r="AO57" s="80">
        <v>5</v>
      </c>
      <c r="AP57" s="80">
        <v>3</v>
      </c>
      <c r="AQ57" s="34">
        <f t="shared" si="12"/>
        <v>2</v>
      </c>
    </row>
    <row r="58" spans="1:43" ht="15" customHeight="1" thickBot="1" x14ac:dyDescent="0.3">
      <c r="A58" s="32" t="s">
        <v>313</v>
      </c>
      <c r="B58" s="32" t="s">
        <v>311</v>
      </c>
      <c r="C58" s="32" t="s">
        <v>589</v>
      </c>
      <c r="D58" s="32" t="s">
        <v>589</v>
      </c>
      <c r="E58" s="33" t="s">
        <v>31</v>
      </c>
      <c r="F58" s="33" t="s">
        <v>31</v>
      </c>
      <c r="G58" s="34" t="s">
        <v>61</v>
      </c>
      <c r="H58" s="34">
        <v>12</v>
      </c>
      <c r="I58" s="34" t="s">
        <v>586</v>
      </c>
      <c r="J58" s="35">
        <v>44694</v>
      </c>
      <c r="K58" s="36">
        <v>44699</v>
      </c>
      <c r="L58" s="34" t="s">
        <v>312</v>
      </c>
      <c r="M58" s="36">
        <v>44876</v>
      </c>
      <c r="N58" s="37">
        <f t="shared" si="0"/>
        <v>177</v>
      </c>
      <c r="O58" s="34">
        <v>1</v>
      </c>
      <c r="P58" s="97"/>
      <c r="Q58" s="34" t="s">
        <v>588</v>
      </c>
      <c r="R58" s="34" t="s">
        <v>588</v>
      </c>
      <c r="S58" s="49">
        <f t="shared" si="1"/>
        <v>4</v>
      </c>
      <c r="T58" s="34">
        <v>10000</v>
      </c>
      <c r="U58" s="34">
        <f t="shared" si="2"/>
        <v>4</v>
      </c>
      <c r="V58" s="34">
        <v>26</v>
      </c>
      <c r="W58" s="49">
        <v>1</v>
      </c>
      <c r="X58" s="49">
        <v>1</v>
      </c>
      <c r="Y58" s="34">
        <v>1</v>
      </c>
      <c r="Z58" s="34">
        <v>5.8885392404568533</v>
      </c>
      <c r="AA58" s="34">
        <f t="shared" si="3"/>
        <v>0.77000757348155136</v>
      </c>
      <c r="AB58" s="125"/>
      <c r="AC58" s="125"/>
      <c r="AD58" s="34">
        <v>8.5665137415997421</v>
      </c>
      <c r="AE58" s="34">
        <f t="shared" si="4"/>
        <v>0.93280411587558087</v>
      </c>
      <c r="AF58" s="34">
        <v>6.3756636139608851</v>
      </c>
      <c r="AG58" s="34">
        <f t="shared" si="5"/>
        <v>0.80452539520511235</v>
      </c>
      <c r="AH58" s="49">
        <v>4.3979400086720375</v>
      </c>
      <c r="AI58" s="34">
        <f>LOG10(AH58)</f>
        <v>0.6432493009501028</v>
      </c>
      <c r="AJ58" s="34" t="s">
        <v>29</v>
      </c>
      <c r="AK58" s="34">
        <v>5</v>
      </c>
      <c r="AL58" s="125"/>
      <c r="AM58" s="52" t="s">
        <v>635</v>
      </c>
      <c r="AN58" s="34" t="s">
        <v>313</v>
      </c>
      <c r="AO58" s="34">
        <v>5</v>
      </c>
      <c r="AP58" s="34">
        <v>3</v>
      </c>
      <c r="AQ58" s="34">
        <f t="shared" si="12"/>
        <v>2</v>
      </c>
    </row>
    <row r="59" spans="1:43" ht="15" customHeight="1" thickTop="1" x14ac:dyDescent="0.25">
      <c r="A59" s="32" t="s">
        <v>314</v>
      </c>
      <c r="B59" s="32" t="s">
        <v>311</v>
      </c>
      <c r="C59" s="32" t="s">
        <v>589</v>
      </c>
      <c r="D59" s="32" t="s">
        <v>589</v>
      </c>
      <c r="E59" s="33" t="s">
        <v>31</v>
      </c>
      <c r="F59" s="33" t="s">
        <v>31</v>
      </c>
      <c r="G59" s="34" t="s">
        <v>61</v>
      </c>
      <c r="H59" s="34">
        <v>12</v>
      </c>
      <c r="I59" s="34" t="s">
        <v>591</v>
      </c>
      <c r="J59" s="35">
        <v>44694</v>
      </c>
      <c r="K59" s="36">
        <v>44700</v>
      </c>
      <c r="L59" s="34" t="s">
        <v>312</v>
      </c>
      <c r="M59" s="36">
        <v>44876</v>
      </c>
      <c r="N59" s="37">
        <f t="shared" si="0"/>
        <v>176</v>
      </c>
      <c r="O59" s="34">
        <v>1</v>
      </c>
      <c r="P59" s="97"/>
      <c r="Q59" s="34" t="s">
        <v>588</v>
      </c>
      <c r="R59" s="34" t="s">
        <v>588</v>
      </c>
      <c r="S59" s="49">
        <f t="shared" si="1"/>
        <v>4</v>
      </c>
      <c r="T59" s="34">
        <v>10000</v>
      </c>
      <c r="U59" s="34">
        <f t="shared" si="2"/>
        <v>4</v>
      </c>
      <c r="V59" s="34">
        <v>21</v>
      </c>
      <c r="W59" s="49">
        <v>1</v>
      </c>
      <c r="X59" s="49">
        <v>1</v>
      </c>
      <c r="Y59" s="34">
        <v>3</v>
      </c>
      <c r="Z59" s="34">
        <v>6.2860435780902462</v>
      </c>
      <c r="AA59" s="34">
        <f t="shared" si="3"/>
        <v>0.79837738744492803</v>
      </c>
      <c r="AB59" s="125"/>
      <c r="AC59" s="125"/>
      <c r="AD59" s="34">
        <v>8.7506733810685464</v>
      </c>
      <c r="AE59" s="34">
        <f t="shared" si="4"/>
        <v>0.94204147410001282</v>
      </c>
      <c r="AF59" s="34">
        <v>6.3979400086720375</v>
      </c>
      <c r="AG59" s="34">
        <f t="shared" si="5"/>
        <v>0.80604016353413932</v>
      </c>
      <c r="AH59" s="49">
        <v>4.989004615698537</v>
      </c>
      <c r="AI59" s="34">
        <f t="shared" ref="AI59:AI63" si="17">LOG10(AH59)</f>
        <v>0.69801390573743327</v>
      </c>
      <c r="AJ59" s="34" t="s">
        <v>29</v>
      </c>
      <c r="AK59" s="34">
        <v>6</v>
      </c>
      <c r="AL59" s="125"/>
      <c r="AM59" s="52" t="s">
        <v>635</v>
      </c>
      <c r="AN59" s="34" t="s">
        <v>314</v>
      </c>
      <c r="AO59" s="34">
        <v>4</v>
      </c>
      <c r="AP59" s="34">
        <v>4</v>
      </c>
      <c r="AQ59" s="18">
        <f t="shared" ref="AQ59:AQ71" si="18">SUM(AN64,AP64)</f>
        <v>2</v>
      </c>
    </row>
    <row r="60" spans="1:43" ht="15" customHeight="1" x14ac:dyDescent="0.25">
      <c r="A60" s="32" t="s">
        <v>315</v>
      </c>
      <c r="B60" s="32" t="s">
        <v>311</v>
      </c>
      <c r="C60" s="32" t="s">
        <v>589</v>
      </c>
      <c r="D60" s="32" t="s">
        <v>589</v>
      </c>
      <c r="E60" s="33" t="s">
        <v>31</v>
      </c>
      <c r="F60" s="33" t="s">
        <v>31</v>
      </c>
      <c r="G60" s="34" t="s">
        <v>61</v>
      </c>
      <c r="H60" s="34">
        <v>12</v>
      </c>
      <c r="I60" s="34" t="s">
        <v>591</v>
      </c>
      <c r="J60" s="35">
        <v>44694</v>
      </c>
      <c r="K60" s="36">
        <v>44701</v>
      </c>
      <c r="L60" s="34" t="s">
        <v>312</v>
      </c>
      <c r="M60" s="36">
        <v>44876</v>
      </c>
      <c r="N60" s="37">
        <f t="shared" si="0"/>
        <v>175</v>
      </c>
      <c r="O60" s="34">
        <v>1</v>
      </c>
      <c r="P60" s="97"/>
      <c r="Q60" s="34" t="s">
        <v>588</v>
      </c>
      <c r="R60" s="34" t="s">
        <v>588</v>
      </c>
      <c r="S60" s="49">
        <f t="shared" si="1"/>
        <v>4</v>
      </c>
      <c r="T60" s="34">
        <v>10000</v>
      </c>
      <c r="U60" s="34">
        <f t="shared" si="2"/>
        <v>4</v>
      </c>
      <c r="V60" s="34">
        <v>14</v>
      </c>
      <c r="W60" s="49">
        <v>1</v>
      </c>
      <c r="X60" s="49">
        <v>1</v>
      </c>
      <c r="Y60" s="34">
        <v>3</v>
      </c>
      <c r="Z60" s="34">
        <v>6.3508795810198606</v>
      </c>
      <c r="AA60" s="34">
        <f t="shared" si="3"/>
        <v>0.80283387816272545</v>
      </c>
      <c r="AB60" s="125"/>
      <c r="AC60" s="125"/>
      <c r="AD60" s="34">
        <v>8.7748097346181648</v>
      </c>
      <c r="AE60" s="34">
        <f t="shared" si="4"/>
        <v>0.94323770837418375</v>
      </c>
      <c r="AF60" s="34">
        <v>6.3979400086720375</v>
      </c>
      <c r="AG60" s="34">
        <f t="shared" si="5"/>
        <v>0.80604016353413932</v>
      </c>
      <c r="AH60" s="49">
        <v>4.8129133566428557</v>
      </c>
      <c r="AI60" s="34">
        <f t="shared" si="17"/>
        <v>0.68240804346198336</v>
      </c>
      <c r="AJ60" s="34" t="s">
        <v>29</v>
      </c>
      <c r="AK60" s="34">
        <v>6</v>
      </c>
      <c r="AL60" s="125"/>
      <c r="AM60" s="52" t="s">
        <v>635</v>
      </c>
      <c r="AN60" s="34" t="s">
        <v>315</v>
      </c>
      <c r="AO60" s="34">
        <v>4</v>
      </c>
      <c r="AP60" s="34">
        <v>4</v>
      </c>
      <c r="AQ60" s="34">
        <f t="shared" si="18"/>
        <v>2</v>
      </c>
    </row>
    <row r="61" spans="1:43" ht="15" customHeight="1" thickBot="1" x14ac:dyDescent="0.3">
      <c r="A61" s="32" t="s">
        <v>316</v>
      </c>
      <c r="B61" s="32" t="s">
        <v>311</v>
      </c>
      <c r="C61" s="32" t="s">
        <v>589</v>
      </c>
      <c r="D61" s="32" t="s">
        <v>589</v>
      </c>
      <c r="E61" s="33" t="s">
        <v>31</v>
      </c>
      <c r="F61" s="33" t="s">
        <v>31</v>
      </c>
      <c r="G61" s="34" t="s">
        <v>61</v>
      </c>
      <c r="H61" s="34">
        <v>12</v>
      </c>
      <c r="I61" s="34" t="s">
        <v>591</v>
      </c>
      <c r="J61" s="35">
        <v>44694</v>
      </c>
      <c r="K61" s="36">
        <v>44702</v>
      </c>
      <c r="L61" s="34" t="s">
        <v>312</v>
      </c>
      <c r="M61" s="36">
        <v>44876</v>
      </c>
      <c r="N61" s="37">
        <f t="shared" si="0"/>
        <v>174</v>
      </c>
      <c r="O61" s="34">
        <v>1</v>
      </c>
      <c r="P61" s="97"/>
      <c r="Q61" s="34" t="s">
        <v>588</v>
      </c>
      <c r="R61" s="34" t="s">
        <v>588</v>
      </c>
      <c r="S61" s="49">
        <f t="shared" si="1"/>
        <v>4</v>
      </c>
      <c r="T61" s="34">
        <v>10000</v>
      </c>
      <c r="U61" s="34">
        <f t="shared" si="2"/>
        <v>4</v>
      </c>
      <c r="V61" s="34">
        <v>28</v>
      </c>
      <c r="W61" s="49">
        <v>1</v>
      </c>
      <c r="X61" s="49">
        <v>1</v>
      </c>
      <c r="Y61" s="34">
        <v>1</v>
      </c>
      <c r="Z61" s="34">
        <v>6.3659223603880939</v>
      </c>
      <c r="AA61" s="34">
        <f t="shared" si="3"/>
        <v>0.8038613376056496</v>
      </c>
      <c r="AB61" s="125"/>
      <c r="AC61" s="125"/>
      <c r="AD61" s="34">
        <v>8.7020759034628306</v>
      </c>
      <c r="AE61" s="34">
        <f t="shared" si="4"/>
        <v>0.93962286708716225</v>
      </c>
      <c r="AF61" s="34">
        <v>6.1832698436828046</v>
      </c>
      <c r="AG61" s="34">
        <f t="shared" si="5"/>
        <v>0.79121819993009079</v>
      </c>
      <c r="AH61" s="49">
        <v>5.0881360887005513</v>
      </c>
      <c r="AI61" s="34">
        <f t="shared" si="17"/>
        <v>0.70655871855649444</v>
      </c>
      <c r="AJ61" s="34" t="s">
        <v>29</v>
      </c>
      <c r="AK61" s="34">
        <v>5</v>
      </c>
      <c r="AL61" s="125"/>
      <c r="AM61" s="52" t="s">
        <v>635</v>
      </c>
      <c r="AN61" s="34" t="s">
        <v>316</v>
      </c>
      <c r="AO61" s="34">
        <v>4</v>
      </c>
      <c r="AP61" s="34">
        <v>2</v>
      </c>
      <c r="AQ61" s="61">
        <f t="shared" si="18"/>
        <v>0</v>
      </c>
    </row>
    <row r="62" spans="1:43" ht="15" customHeight="1" thickTop="1" x14ac:dyDescent="0.25">
      <c r="A62" s="32" t="s">
        <v>317</v>
      </c>
      <c r="B62" s="32" t="s">
        <v>311</v>
      </c>
      <c r="C62" s="32" t="s">
        <v>589</v>
      </c>
      <c r="D62" s="32" t="s">
        <v>589</v>
      </c>
      <c r="E62" s="33" t="s">
        <v>31</v>
      </c>
      <c r="F62" s="33" t="s">
        <v>31</v>
      </c>
      <c r="G62" s="34" t="s">
        <v>61</v>
      </c>
      <c r="H62" s="34">
        <v>12</v>
      </c>
      <c r="I62" s="34" t="s">
        <v>591</v>
      </c>
      <c r="J62" s="35">
        <v>44694</v>
      </c>
      <c r="K62" s="36">
        <v>44703</v>
      </c>
      <c r="L62" s="34" t="s">
        <v>312</v>
      </c>
      <c r="M62" s="36">
        <v>44876</v>
      </c>
      <c r="N62" s="37">
        <f t="shared" si="0"/>
        <v>173</v>
      </c>
      <c r="O62" s="34">
        <v>1</v>
      </c>
      <c r="P62" s="97"/>
      <c r="Q62" s="34" t="s">
        <v>588</v>
      </c>
      <c r="R62" s="34" t="s">
        <v>588</v>
      </c>
      <c r="S62" s="49">
        <f t="shared" si="1"/>
        <v>4</v>
      </c>
      <c r="T62" s="34">
        <v>10000</v>
      </c>
      <c r="U62" s="34">
        <f t="shared" si="2"/>
        <v>4</v>
      </c>
      <c r="V62" s="34">
        <v>4</v>
      </c>
      <c r="W62" s="49">
        <v>1</v>
      </c>
      <c r="X62" s="49">
        <v>1</v>
      </c>
      <c r="Y62" s="34">
        <v>2</v>
      </c>
      <c r="Z62" s="34">
        <v>6.4817768574262686</v>
      </c>
      <c r="AA62" s="34">
        <f t="shared" si="3"/>
        <v>0.81169407586981945</v>
      </c>
      <c r="AB62" s="125"/>
      <c r="AC62" s="125"/>
      <c r="AD62" s="34">
        <v>8.7557516108062039</v>
      </c>
      <c r="AE62" s="34">
        <f t="shared" si="4"/>
        <v>0.94229343270558596</v>
      </c>
      <c r="AF62" s="34">
        <v>6.3979400086720375</v>
      </c>
      <c r="AG62" s="34">
        <f t="shared" si="5"/>
        <v>0.80604016353413932</v>
      </c>
      <c r="AH62" s="49">
        <v>4.4393326938302629</v>
      </c>
      <c r="AI62" s="34">
        <f t="shared" si="17"/>
        <v>0.6473176932750655</v>
      </c>
      <c r="AJ62" s="34" t="s">
        <v>29</v>
      </c>
      <c r="AK62" s="34">
        <v>5</v>
      </c>
      <c r="AL62" s="125"/>
      <c r="AM62" s="52" t="s">
        <v>635</v>
      </c>
      <c r="AN62" s="34" t="s">
        <v>317</v>
      </c>
      <c r="AO62" s="34">
        <v>5</v>
      </c>
      <c r="AP62" s="34">
        <v>2</v>
      </c>
      <c r="AQ62" s="80">
        <f t="shared" si="18"/>
        <v>3</v>
      </c>
    </row>
    <row r="63" spans="1:43" ht="15" customHeight="1" thickBot="1" x14ac:dyDescent="0.3">
      <c r="A63" s="103" t="s">
        <v>318</v>
      </c>
      <c r="B63" s="103" t="s">
        <v>311</v>
      </c>
      <c r="C63" s="103" t="s">
        <v>589</v>
      </c>
      <c r="D63" s="103" t="s">
        <v>589</v>
      </c>
      <c r="E63" s="104" t="s">
        <v>31</v>
      </c>
      <c r="F63" s="104" t="s">
        <v>31</v>
      </c>
      <c r="G63" s="105" t="s">
        <v>61</v>
      </c>
      <c r="H63" s="105">
        <v>12</v>
      </c>
      <c r="I63" s="105" t="s">
        <v>586</v>
      </c>
      <c r="J63" s="106">
        <v>44694</v>
      </c>
      <c r="K63" s="107">
        <v>44700</v>
      </c>
      <c r="L63" s="105" t="s">
        <v>312</v>
      </c>
      <c r="M63" s="107">
        <v>44876</v>
      </c>
      <c r="N63" s="109">
        <f t="shared" si="0"/>
        <v>176</v>
      </c>
      <c r="O63" s="105">
        <v>1</v>
      </c>
      <c r="P63" s="110"/>
      <c r="Q63" s="105" t="s">
        <v>588</v>
      </c>
      <c r="R63" s="105" t="s">
        <v>588</v>
      </c>
      <c r="S63" s="114">
        <f t="shared" si="1"/>
        <v>4</v>
      </c>
      <c r="T63" s="105">
        <v>10000</v>
      </c>
      <c r="U63" s="105">
        <f t="shared" si="2"/>
        <v>4</v>
      </c>
      <c r="V63" s="105">
        <v>15</v>
      </c>
      <c r="W63" s="114">
        <v>1</v>
      </c>
      <c r="X63" s="114">
        <v>1</v>
      </c>
      <c r="Y63" s="105">
        <v>0</v>
      </c>
      <c r="Z63" s="167"/>
      <c r="AA63" s="170"/>
      <c r="AB63" s="170"/>
      <c r="AC63" s="170"/>
      <c r="AD63" s="105">
        <v>8.5367529533697528</v>
      </c>
      <c r="AE63" s="105">
        <f t="shared" si="4"/>
        <v>0.93129271347734488</v>
      </c>
      <c r="AF63" s="105">
        <v>5.989004615698537</v>
      </c>
      <c r="AG63" s="105">
        <f t="shared" si="5"/>
        <v>0.77735464779311381</v>
      </c>
      <c r="AH63" s="114">
        <v>2.8450980400142569</v>
      </c>
      <c r="AI63" s="34">
        <f t="shared" si="17"/>
        <v>0.45409723646169858</v>
      </c>
      <c r="AJ63" s="105" t="s">
        <v>29</v>
      </c>
      <c r="AK63" s="105">
        <v>7</v>
      </c>
      <c r="AL63" s="170"/>
      <c r="AM63" s="117" t="s">
        <v>636</v>
      </c>
      <c r="AN63" s="105" t="s">
        <v>318</v>
      </c>
      <c r="AO63" s="105">
        <v>4</v>
      </c>
      <c r="AP63" s="105">
        <v>2</v>
      </c>
      <c r="AQ63" s="34">
        <f t="shared" si="18"/>
        <v>3</v>
      </c>
    </row>
    <row r="64" spans="1:43" ht="15" customHeight="1" thickTop="1" x14ac:dyDescent="0.25">
      <c r="A64" s="15" t="s">
        <v>481</v>
      </c>
      <c r="B64" s="15" t="s">
        <v>320</v>
      </c>
      <c r="C64" s="15" t="s">
        <v>589</v>
      </c>
      <c r="D64" s="15" t="s">
        <v>589</v>
      </c>
      <c r="E64" s="17" t="s">
        <v>31</v>
      </c>
      <c r="F64" s="17" t="s">
        <v>31</v>
      </c>
      <c r="G64" s="18" t="s">
        <v>61</v>
      </c>
      <c r="H64" s="18">
        <v>17</v>
      </c>
      <c r="I64" s="18" t="s">
        <v>591</v>
      </c>
      <c r="J64" s="19">
        <v>44727</v>
      </c>
      <c r="K64" s="20">
        <v>44732</v>
      </c>
      <c r="L64" s="18" t="s">
        <v>66</v>
      </c>
      <c r="M64" s="20">
        <v>44876</v>
      </c>
      <c r="N64" s="21">
        <f t="shared" si="0"/>
        <v>144</v>
      </c>
      <c r="O64" s="18">
        <v>1</v>
      </c>
      <c r="P64" s="118" t="s">
        <v>637</v>
      </c>
      <c r="Q64" s="18" t="s">
        <v>588</v>
      </c>
      <c r="R64" s="18" t="s">
        <v>588</v>
      </c>
      <c r="S64" s="18">
        <f t="shared" si="1"/>
        <v>5.5774917998372251</v>
      </c>
      <c r="T64" s="18">
        <v>378000</v>
      </c>
      <c r="U64" s="18">
        <f t="shared" si="2"/>
        <v>5.5774917998372251</v>
      </c>
      <c r="V64" s="18">
        <v>23</v>
      </c>
      <c r="W64" s="119">
        <v>2</v>
      </c>
      <c r="X64" s="119">
        <v>2</v>
      </c>
      <c r="Y64" s="18">
        <v>0</v>
      </c>
      <c r="Z64" s="18">
        <v>4.4006050243061221</v>
      </c>
      <c r="AA64" s="18">
        <f t="shared" si="3"/>
        <v>0.64351239027114981</v>
      </c>
      <c r="AB64" s="201"/>
      <c r="AC64" s="201"/>
      <c r="AD64" s="18">
        <v>9.2102111033954461</v>
      </c>
      <c r="AE64" s="18">
        <f t="shared" si="4"/>
        <v>0.96426958459305456</v>
      </c>
      <c r="AF64" s="173"/>
      <c r="AG64" s="173"/>
      <c r="AH64" s="173"/>
      <c r="AI64" s="173"/>
      <c r="AJ64" s="18" t="s">
        <v>29</v>
      </c>
      <c r="AK64" s="18">
        <v>5</v>
      </c>
      <c r="AL64" s="201"/>
      <c r="AM64" s="202"/>
      <c r="AN64" s="18" t="s">
        <v>481</v>
      </c>
      <c r="AO64" s="18">
        <v>4</v>
      </c>
      <c r="AP64" s="18">
        <v>2</v>
      </c>
      <c r="AQ64" s="34">
        <f t="shared" si="18"/>
        <v>3</v>
      </c>
    </row>
    <row r="65" spans="1:43" ht="15" customHeight="1" x14ac:dyDescent="0.25">
      <c r="A65" s="32" t="s">
        <v>319</v>
      </c>
      <c r="B65" s="32" t="s">
        <v>320</v>
      </c>
      <c r="C65" s="32" t="s">
        <v>589</v>
      </c>
      <c r="D65" s="32" t="s">
        <v>589</v>
      </c>
      <c r="E65" s="33" t="s">
        <v>31</v>
      </c>
      <c r="F65" s="33" t="s">
        <v>31</v>
      </c>
      <c r="G65" s="34" t="s">
        <v>61</v>
      </c>
      <c r="H65" s="34">
        <v>17</v>
      </c>
      <c r="I65" s="34" t="s">
        <v>591</v>
      </c>
      <c r="J65" s="35">
        <v>44727</v>
      </c>
      <c r="K65" s="36">
        <v>44732</v>
      </c>
      <c r="L65" s="34" t="s">
        <v>66</v>
      </c>
      <c r="M65" s="36">
        <v>44876</v>
      </c>
      <c r="N65" s="37">
        <f t="shared" si="0"/>
        <v>144</v>
      </c>
      <c r="O65" s="34">
        <v>1</v>
      </c>
      <c r="P65" s="97"/>
      <c r="Q65" s="34" t="s">
        <v>588</v>
      </c>
      <c r="R65" s="34" t="s">
        <v>588</v>
      </c>
      <c r="S65" s="34">
        <f t="shared" si="1"/>
        <v>5.5774917998372251</v>
      </c>
      <c r="T65" s="34">
        <v>378000</v>
      </c>
      <c r="U65" s="34">
        <f t="shared" si="2"/>
        <v>5.5774917998372251</v>
      </c>
      <c r="V65" s="34">
        <v>8</v>
      </c>
      <c r="W65" s="49">
        <v>1</v>
      </c>
      <c r="X65" s="49" t="s">
        <v>638</v>
      </c>
      <c r="Y65" s="34">
        <v>0</v>
      </c>
      <c r="Z65" s="34">
        <v>5.2282422160723243</v>
      </c>
      <c r="AA65" s="34">
        <f t="shared" si="3"/>
        <v>0.71835569954104062</v>
      </c>
      <c r="AB65" s="125"/>
      <c r="AC65" s="125"/>
      <c r="AD65" s="34">
        <v>9.29506340407608</v>
      </c>
      <c r="AE65" s="34">
        <f t="shared" si="4"/>
        <v>0.96825235655508857</v>
      </c>
      <c r="AF65" s="101"/>
      <c r="AG65" s="101"/>
      <c r="AH65" s="101"/>
      <c r="AI65" s="101"/>
      <c r="AJ65" s="34" t="s">
        <v>29</v>
      </c>
      <c r="AK65" s="34">
        <v>5</v>
      </c>
      <c r="AL65" s="125"/>
      <c r="AM65" s="52"/>
      <c r="AN65" s="34" t="s">
        <v>319</v>
      </c>
      <c r="AO65" s="34">
        <v>4</v>
      </c>
      <c r="AP65" s="34">
        <v>2</v>
      </c>
      <c r="AQ65" s="34">
        <f t="shared" si="18"/>
        <v>4</v>
      </c>
    </row>
    <row r="66" spans="1:43" ht="15" customHeight="1" thickBot="1" x14ac:dyDescent="0.3">
      <c r="A66" s="58" t="s">
        <v>321</v>
      </c>
      <c r="B66" s="58" t="s">
        <v>320</v>
      </c>
      <c r="C66" s="58" t="s">
        <v>589</v>
      </c>
      <c r="D66" s="58" t="s">
        <v>589</v>
      </c>
      <c r="E66" s="59" t="s">
        <v>26</v>
      </c>
      <c r="F66" s="59" t="s">
        <v>26</v>
      </c>
      <c r="G66" s="61" t="s">
        <v>61</v>
      </c>
      <c r="H66" s="61">
        <v>10</v>
      </c>
      <c r="I66" s="61" t="s">
        <v>639</v>
      </c>
      <c r="J66" s="62">
        <v>44727</v>
      </c>
      <c r="K66" s="63">
        <v>44741</v>
      </c>
      <c r="L66" s="61" t="s">
        <v>312</v>
      </c>
      <c r="M66" s="63">
        <v>44876</v>
      </c>
      <c r="N66" s="64">
        <f t="shared" si="0"/>
        <v>135</v>
      </c>
      <c r="O66" s="61">
        <v>1</v>
      </c>
      <c r="P66" s="110"/>
      <c r="Q66" s="61" t="s">
        <v>588</v>
      </c>
      <c r="R66" s="61" t="s">
        <v>588</v>
      </c>
      <c r="S66" s="61">
        <f t="shared" si="1"/>
        <v>5.5774917998372251</v>
      </c>
      <c r="T66" s="61">
        <v>378000</v>
      </c>
      <c r="U66" s="61">
        <f t="shared" si="2"/>
        <v>5.5774917998372251</v>
      </c>
      <c r="V66" s="61">
        <v>14</v>
      </c>
      <c r="W66" s="66">
        <v>2</v>
      </c>
      <c r="X66" s="66">
        <v>2</v>
      </c>
      <c r="Y66" s="61">
        <v>0</v>
      </c>
      <c r="Z66" s="61">
        <v>0</v>
      </c>
      <c r="AA66" s="203"/>
      <c r="AB66" s="203"/>
      <c r="AC66" s="203"/>
      <c r="AD66" s="61">
        <v>7.5037664730147311</v>
      </c>
      <c r="AE66" s="61">
        <f t="shared" si="4"/>
        <v>0.87527930977143253</v>
      </c>
      <c r="AF66" s="61">
        <v>0.69897000433601886</v>
      </c>
      <c r="AG66" s="61">
        <f>LOG10(AF66)</f>
        <v>-0.15554146120834425</v>
      </c>
      <c r="AH66" s="66">
        <v>0</v>
      </c>
      <c r="AI66" s="61">
        <v>0</v>
      </c>
      <c r="AJ66" s="61" t="s">
        <v>29</v>
      </c>
      <c r="AK66" s="61">
        <v>14</v>
      </c>
      <c r="AL66" s="203"/>
      <c r="AM66" s="204" t="s">
        <v>640</v>
      </c>
      <c r="AN66" s="61" t="s">
        <v>321</v>
      </c>
      <c r="AO66" s="61">
        <v>0</v>
      </c>
      <c r="AP66" s="61">
        <v>0</v>
      </c>
      <c r="AQ66" s="34">
        <f t="shared" si="18"/>
        <v>3</v>
      </c>
    </row>
    <row r="67" spans="1:43" ht="15" customHeight="1" thickTop="1" x14ac:dyDescent="0.25">
      <c r="A67" s="78" t="s">
        <v>482</v>
      </c>
      <c r="B67" s="78" t="s">
        <v>369</v>
      </c>
      <c r="C67" s="78" t="s">
        <v>589</v>
      </c>
      <c r="D67" s="78" t="s">
        <v>589</v>
      </c>
      <c r="E67" s="182" t="s">
        <v>26</v>
      </c>
      <c r="F67" s="79" t="s">
        <v>31</v>
      </c>
      <c r="G67" s="80" t="s">
        <v>600</v>
      </c>
      <c r="H67" s="80">
        <v>17</v>
      </c>
      <c r="I67" s="80" t="s">
        <v>591</v>
      </c>
      <c r="J67" s="160">
        <v>44867</v>
      </c>
      <c r="K67" s="205"/>
      <c r="L67" s="80" t="s">
        <v>66</v>
      </c>
      <c r="M67" s="82">
        <v>44889</v>
      </c>
      <c r="N67" s="206"/>
      <c r="O67" s="80">
        <v>1</v>
      </c>
      <c r="P67" s="80" t="s">
        <v>641</v>
      </c>
      <c r="Q67" s="80" t="s">
        <v>588</v>
      </c>
      <c r="R67" s="80" t="s">
        <v>588</v>
      </c>
      <c r="S67" s="80">
        <f t="shared" ref="S67:S130" si="19">LOG10(T67)</f>
        <v>3.7075701760979363</v>
      </c>
      <c r="T67" s="207">
        <v>5100</v>
      </c>
      <c r="U67" s="207">
        <f t="shared" ref="U67:U129" si="20">LOG10(T67)</f>
        <v>3.7075701760979363</v>
      </c>
      <c r="V67" s="163"/>
      <c r="W67" s="163"/>
      <c r="X67" s="163"/>
      <c r="Y67" s="123">
        <v>0</v>
      </c>
      <c r="Z67" s="163"/>
      <c r="AA67" s="163"/>
      <c r="AB67" s="163"/>
      <c r="AC67" s="163"/>
      <c r="AD67" s="163"/>
      <c r="AE67" s="163"/>
      <c r="AF67" s="173"/>
      <c r="AG67" s="173"/>
      <c r="AH67" s="173"/>
      <c r="AI67" s="173"/>
      <c r="AJ67" s="89" t="s">
        <v>29</v>
      </c>
      <c r="AK67" s="80">
        <v>5</v>
      </c>
      <c r="AL67" s="163"/>
      <c r="AM67" s="95"/>
      <c r="AN67" s="80" t="s">
        <v>482</v>
      </c>
      <c r="AO67" s="80">
        <v>0</v>
      </c>
      <c r="AP67" s="80">
        <v>3</v>
      </c>
      <c r="AQ67" s="34">
        <f t="shared" si="18"/>
        <v>3</v>
      </c>
    </row>
    <row r="68" spans="1:43" ht="15" customHeight="1" x14ac:dyDescent="0.25">
      <c r="A68" s="32" t="s">
        <v>483</v>
      </c>
      <c r="B68" s="32" t="s">
        <v>369</v>
      </c>
      <c r="C68" s="32" t="s">
        <v>589</v>
      </c>
      <c r="D68" s="32" t="s">
        <v>589</v>
      </c>
      <c r="E68" s="33" t="s">
        <v>31</v>
      </c>
      <c r="F68" s="33" t="s">
        <v>31</v>
      </c>
      <c r="G68" s="34" t="s">
        <v>600</v>
      </c>
      <c r="H68" s="34">
        <v>17</v>
      </c>
      <c r="I68" s="34" t="s">
        <v>591</v>
      </c>
      <c r="J68" s="208">
        <v>44867</v>
      </c>
      <c r="K68" s="209"/>
      <c r="L68" s="34" t="s">
        <v>66</v>
      </c>
      <c r="M68" s="36">
        <v>44889</v>
      </c>
      <c r="N68" s="210"/>
      <c r="O68" s="34">
        <v>1</v>
      </c>
      <c r="P68" s="38"/>
      <c r="Q68" s="34" t="s">
        <v>588</v>
      </c>
      <c r="R68" s="34" t="s">
        <v>588</v>
      </c>
      <c r="S68" s="34">
        <f t="shared" si="19"/>
        <v>3.7075701760979363</v>
      </c>
      <c r="T68" s="211">
        <v>5100</v>
      </c>
      <c r="U68" s="211">
        <f t="shared" si="20"/>
        <v>3.7075701760979363</v>
      </c>
      <c r="V68" s="125"/>
      <c r="W68" s="125"/>
      <c r="X68" s="125"/>
      <c r="Y68" s="46">
        <v>2</v>
      </c>
      <c r="Z68" s="125"/>
      <c r="AA68" s="125"/>
      <c r="AB68" s="125"/>
      <c r="AC68" s="125"/>
      <c r="AD68" s="125"/>
      <c r="AE68" s="125"/>
      <c r="AF68" s="101"/>
      <c r="AG68" s="101"/>
      <c r="AH68" s="101"/>
      <c r="AI68" s="101"/>
      <c r="AJ68" s="34" t="s">
        <v>29</v>
      </c>
      <c r="AK68" s="34">
        <v>5</v>
      </c>
      <c r="AL68" s="125"/>
      <c r="AM68" s="52"/>
      <c r="AN68" s="34" t="s">
        <v>483</v>
      </c>
      <c r="AO68" s="34">
        <v>4</v>
      </c>
      <c r="AP68" s="34">
        <v>3</v>
      </c>
      <c r="AQ68" s="34">
        <f t="shared" si="18"/>
        <v>3</v>
      </c>
    </row>
    <row r="69" spans="1:43" ht="15" customHeight="1" x14ac:dyDescent="0.25">
      <c r="A69" s="32" t="s">
        <v>484</v>
      </c>
      <c r="B69" s="32" t="s">
        <v>369</v>
      </c>
      <c r="C69" s="32" t="s">
        <v>589</v>
      </c>
      <c r="D69" s="32" t="s">
        <v>589</v>
      </c>
      <c r="E69" s="48" t="s">
        <v>26</v>
      </c>
      <c r="F69" s="33" t="s">
        <v>31</v>
      </c>
      <c r="G69" s="34" t="s">
        <v>600</v>
      </c>
      <c r="H69" s="34">
        <v>17</v>
      </c>
      <c r="I69" s="34" t="s">
        <v>591</v>
      </c>
      <c r="J69" s="208">
        <v>44867</v>
      </c>
      <c r="K69" s="209"/>
      <c r="L69" s="34" t="s">
        <v>66</v>
      </c>
      <c r="M69" s="36">
        <v>44889</v>
      </c>
      <c r="N69" s="210"/>
      <c r="O69" s="34">
        <v>1</v>
      </c>
      <c r="P69" s="38"/>
      <c r="Q69" s="34" t="s">
        <v>588</v>
      </c>
      <c r="R69" s="34" t="s">
        <v>588</v>
      </c>
      <c r="S69" s="34">
        <f t="shared" si="19"/>
        <v>3.7075701760979363</v>
      </c>
      <c r="T69" s="211">
        <v>5100</v>
      </c>
      <c r="U69" s="211">
        <f t="shared" si="20"/>
        <v>3.7075701760979363</v>
      </c>
      <c r="V69" s="125"/>
      <c r="W69" s="125"/>
      <c r="X69" s="125"/>
      <c r="Y69" s="46">
        <v>0</v>
      </c>
      <c r="Z69" s="125"/>
      <c r="AA69" s="125"/>
      <c r="AB69" s="125"/>
      <c r="AC69" s="125"/>
      <c r="AD69" s="125"/>
      <c r="AE69" s="125"/>
      <c r="AF69" s="101"/>
      <c r="AG69" s="101"/>
      <c r="AH69" s="101"/>
      <c r="AI69" s="101"/>
      <c r="AJ69" s="34" t="s">
        <v>29</v>
      </c>
      <c r="AK69" s="34">
        <v>5</v>
      </c>
      <c r="AL69" s="125"/>
      <c r="AM69" s="52"/>
      <c r="AN69" s="34" t="s">
        <v>484</v>
      </c>
      <c r="AO69" s="34">
        <v>0</v>
      </c>
      <c r="AP69" s="34">
        <v>3</v>
      </c>
      <c r="AQ69" s="34">
        <f t="shared" si="18"/>
        <v>3</v>
      </c>
    </row>
    <row r="70" spans="1:43" ht="15" customHeight="1" x14ac:dyDescent="0.25">
      <c r="A70" s="32" t="s">
        <v>486</v>
      </c>
      <c r="B70" s="32" t="s">
        <v>369</v>
      </c>
      <c r="C70" s="32" t="s">
        <v>589</v>
      </c>
      <c r="D70" s="32" t="s">
        <v>589</v>
      </c>
      <c r="E70" s="48" t="s">
        <v>26</v>
      </c>
      <c r="F70" s="33" t="s">
        <v>31</v>
      </c>
      <c r="G70" s="34" t="s">
        <v>600</v>
      </c>
      <c r="H70" s="34">
        <v>18</v>
      </c>
      <c r="I70" s="34" t="s">
        <v>586</v>
      </c>
      <c r="J70" s="208">
        <v>44867</v>
      </c>
      <c r="K70" s="209"/>
      <c r="L70" s="34" t="s">
        <v>66</v>
      </c>
      <c r="M70" s="36">
        <v>44889</v>
      </c>
      <c r="N70" s="210"/>
      <c r="O70" s="34">
        <v>1</v>
      </c>
      <c r="P70" s="38"/>
      <c r="Q70" s="34" t="s">
        <v>588</v>
      </c>
      <c r="R70" s="34" t="s">
        <v>588</v>
      </c>
      <c r="S70" s="34">
        <f t="shared" si="19"/>
        <v>3.7075701760979363</v>
      </c>
      <c r="T70" s="211">
        <v>5100</v>
      </c>
      <c r="U70" s="211">
        <f t="shared" si="20"/>
        <v>3.7075701760979363</v>
      </c>
      <c r="V70" s="125"/>
      <c r="W70" s="125"/>
      <c r="X70" s="125"/>
      <c r="Y70" s="46">
        <v>1</v>
      </c>
      <c r="Z70" s="125"/>
      <c r="AA70" s="125"/>
      <c r="AB70" s="125"/>
      <c r="AC70" s="125"/>
      <c r="AD70" s="125"/>
      <c r="AE70" s="125"/>
      <c r="AF70" s="101"/>
      <c r="AG70" s="101"/>
      <c r="AH70" s="101"/>
      <c r="AI70" s="101"/>
      <c r="AJ70" s="34" t="s">
        <v>29</v>
      </c>
      <c r="AK70" s="34">
        <v>5</v>
      </c>
      <c r="AL70" s="125"/>
      <c r="AM70" s="52"/>
      <c r="AN70" s="34" t="s">
        <v>486</v>
      </c>
      <c r="AO70" s="34">
        <v>0</v>
      </c>
      <c r="AP70" s="34">
        <v>4</v>
      </c>
      <c r="AQ70" s="34">
        <f t="shared" si="18"/>
        <v>3</v>
      </c>
    </row>
    <row r="71" spans="1:43" ht="15" customHeight="1" x14ac:dyDescent="0.25">
      <c r="A71" s="32" t="s">
        <v>487</v>
      </c>
      <c r="B71" s="32" t="s">
        <v>369</v>
      </c>
      <c r="C71" s="32" t="s">
        <v>589</v>
      </c>
      <c r="D71" s="32" t="s">
        <v>589</v>
      </c>
      <c r="E71" s="33" t="s">
        <v>31</v>
      </c>
      <c r="F71" s="33" t="s">
        <v>31</v>
      </c>
      <c r="G71" s="34" t="s">
        <v>600</v>
      </c>
      <c r="H71" s="34">
        <v>18</v>
      </c>
      <c r="I71" s="34" t="s">
        <v>586</v>
      </c>
      <c r="J71" s="208">
        <v>44867</v>
      </c>
      <c r="K71" s="209"/>
      <c r="L71" s="34" t="s">
        <v>66</v>
      </c>
      <c r="M71" s="36">
        <v>44889</v>
      </c>
      <c r="N71" s="210"/>
      <c r="O71" s="34">
        <v>1</v>
      </c>
      <c r="P71" s="38"/>
      <c r="Q71" s="34" t="s">
        <v>588</v>
      </c>
      <c r="R71" s="34" t="s">
        <v>588</v>
      </c>
      <c r="S71" s="34">
        <f t="shared" si="19"/>
        <v>3.7075701760979363</v>
      </c>
      <c r="T71" s="211">
        <v>5100</v>
      </c>
      <c r="U71" s="211">
        <f t="shared" si="20"/>
        <v>3.7075701760979363</v>
      </c>
      <c r="V71" s="125"/>
      <c r="W71" s="125"/>
      <c r="X71" s="125"/>
      <c r="Y71" s="46">
        <v>2</v>
      </c>
      <c r="Z71" s="125"/>
      <c r="AA71" s="125"/>
      <c r="AB71" s="125"/>
      <c r="AC71" s="125"/>
      <c r="AD71" s="125"/>
      <c r="AE71" s="125"/>
      <c r="AF71" s="101"/>
      <c r="AG71" s="101"/>
      <c r="AH71" s="101"/>
      <c r="AI71" s="101"/>
      <c r="AJ71" s="34" t="s">
        <v>29</v>
      </c>
      <c r="AK71" s="34">
        <v>5</v>
      </c>
      <c r="AL71" s="125"/>
      <c r="AM71" s="52"/>
      <c r="AN71" s="34" t="s">
        <v>487</v>
      </c>
      <c r="AO71" s="34">
        <v>4</v>
      </c>
      <c r="AP71" s="34">
        <v>3</v>
      </c>
      <c r="AQ71" s="34">
        <f t="shared" si="18"/>
        <v>3</v>
      </c>
    </row>
    <row r="72" spans="1:43" ht="15" customHeight="1" thickBot="1" x14ac:dyDescent="0.3">
      <c r="A72" s="32" t="s">
        <v>488</v>
      </c>
      <c r="B72" s="32" t="s">
        <v>369</v>
      </c>
      <c r="C72" s="32" t="s">
        <v>589</v>
      </c>
      <c r="D72" s="32" t="s">
        <v>589</v>
      </c>
      <c r="E72" s="48" t="s">
        <v>26</v>
      </c>
      <c r="F72" s="33" t="s">
        <v>31</v>
      </c>
      <c r="G72" s="34" t="s">
        <v>600</v>
      </c>
      <c r="H72" s="34">
        <v>19</v>
      </c>
      <c r="I72" s="34" t="s">
        <v>591</v>
      </c>
      <c r="J72" s="208">
        <v>44867</v>
      </c>
      <c r="K72" s="209"/>
      <c r="L72" s="34" t="s">
        <v>66</v>
      </c>
      <c r="M72" s="36">
        <v>44889</v>
      </c>
      <c r="N72" s="212"/>
      <c r="O72" s="34">
        <v>1</v>
      </c>
      <c r="P72" s="38"/>
      <c r="Q72" s="34" t="s">
        <v>642</v>
      </c>
      <c r="R72" s="34" t="s">
        <v>269</v>
      </c>
      <c r="S72" s="34">
        <f t="shared" si="19"/>
        <v>3.7075701760979363</v>
      </c>
      <c r="T72" s="211">
        <v>5100</v>
      </c>
      <c r="U72" s="211">
        <f t="shared" si="20"/>
        <v>3.7075701760979363</v>
      </c>
      <c r="V72" s="125"/>
      <c r="W72" s="125"/>
      <c r="X72" s="125"/>
      <c r="Y72" s="46">
        <v>0.5</v>
      </c>
      <c r="Z72" s="125"/>
      <c r="AA72" s="125"/>
      <c r="AB72" s="125"/>
      <c r="AC72" s="125"/>
      <c r="AD72" s="125"/>
      <c r="AE72" s="125"/>
      <c r="AF72" s="101"/>
      <c r="AG72" s="101"/>
      <c r="AH72" s="101"/>
      <c r="AI72" s="101"/>
      <c r="AJ72" s="34" t="s">
        <v>29</v>
      </c>
      <c r="AK72" s="34">
        <v>5</v>
      </c>
      <c r="AL72" s="125"/>
      <c r="AM72" s="52"/>
      <c r="AN72" s="34" t="s">
        <v>488</v>
      </c>
      <c r="AO72" s="34">
        <v>0</v>
      </c>
      <c r="AP72" s="34">
        <v>3</v>
      </c>
      <c r="AQ72" s="215">
        <f t="shared" ref="AQ72:AQ112" si="21">SUM(AN92,AP92)</f>
        <v>2</v>
      </c>
    </row>
    <row r="73" spans="1:43" ht="15" customHeight="1" thickTop="1" x14ac:dyDescent="0.25">
      <c r="A73" s="32" t="s">
        <v>489</v>
      </c>
      <c r="B73" s="32" t="s">
        <v>369</v>
      </c>
      <c r="C73" s="32" t="s">
        <v>589</v>
      </c>
      <c r="D73" s="32" t="s">
        <v>589</v>
      </c>
      <c r="E73" s="48" t="s">
        <v>26</v>
      </c>
      <c r="F73" s="33" t="s">
        <v>31</v>
      </c>
      <c r="G73" s="34" t="s">
        <v>600</v>
      </c>
      <c r="H73" s="34">
        <v>19</v>
      </c>
      <c r="I73" s="34" t="s">
        <v>591</v>
      </c>
      <c r="J73" s="208">
        <v>44867</v>
      </c>
      <c r="K73" s="209"/>
      <c r="L73" s="34" t="s">
        <v>66</v>
      </c>
      <c r="M73" s="36">
        <v>44889</v>
      </c>
      <c r="N73" s="212"/>
      <c r="O73" s="34">
        <v>1</v>
      </c>
      <c r="P73" s="38"/>
      <c r="Q73" s="34" t="s">
        <v>642</v>
      </c>
      <c r="R73" s="34" t="s">
        <v>269</v>
      </c>
      <c r="S73" s="34">
        <f t="shared" si="19"/>
        <v>3.7075701760979363</v>
      </c>
      <c r="T73" s="211">
        <v>5100</v>
      </c>
      <c r="U73" s="211">
        <f t="shared" si="20"/>
        <v>3.7075701760979363</v>
      </c>
      <c r="V73" s="125"/>
      <c r="W73" s="125"/>
      <c r="X73" s="125"/>
      <c r="Y73" s="46">
        <v>0.5</v>
      </c>
      <c r="Z73" s="125"/>
      <c r="AA73" s="125"/>
      <c r="AB73" s="125"/>
      <c r="AC73" s="125"/>
      <c r="AD73" s="125"/>
      <c r="AE73" s="125"/>
      <c r="AF73" s="101"/>
      <c r="AG73" s="101"/>
      <c r="AH73" s="101"/>
      <c r="AI73" s="101"/>
      <c r="AJ73" s="34" t="s">
        <v>29</v>
      </c>
      <c r="AK73" s="34">
        <v>5</v>
      </c>
      <c r="AL73" s="125"/>
      <c r="AM73" s="52"/>
      <c r="AN73" s="34" t="s">
        <v>489</v>
      </c>
      <c r="AO73" s="34">
        <v>0</v>
      </c>
      <c r="AP73" s="34">
        <v>3</v>
      </c>
      <c r="AQ73" s="18">
        <f t="shared" si="21"/>
        <v>1</v>
      </c>
    </row>
    <row r="74" spans="1:43" ht="15" customHeight="1" x14ac:dyDescent="0.25">
      <c r="A74" s="32" t="s">
        <v>490</v>
      </c>
      <c r="B74" s="32" t="s">
        <v>369</v>
      </c>
      <c r="C74" s="32" t="s">
        <v>589</v>
      </c>
      <c r="D74" s="32" t="s">
        <v>589</v>
      </c>
      <c r="E74" s="48" t="s">
        <v>26</v>
      </c>
      <c r="F74" s="33" t="s">
        <v>31</v>
      </c>
      <c r="G74" s="34" t="s">
        <v>600</v>
      </c>
      <c r="H74" s="34">
        <v>19</v>
      </c>
      <c r="I74" s="34" t="s">
        <v>591</v>
      </c>
      <c r="J74" s="208">
        <v>44867</v>
      </c>
      <c r="K74" s="209"/>
      <c r="L74" s="34" t="s">
        <v>66</v>
      </c>
      <c r="M74" s="36">
        <v>44889</v>
      </c>
      <c r="N74" s="212"/>
      <c r="O74" s="34">
        <v>1</v>
      </c>
      <c r="P74" s="38"/>
      <c r="Q74" s="34" t="s">
        <v>642</v>
      </c>
      <c r="R74" s="34" t="s">
        <v>269</v>
      </c>
      <c r="S74" s="34">
        <f t="shared" si="19"/>
        <v>3.7075701760979363</v>
      </c>
      <c r="T74" s="211">
        <v>5100</v>
      </c>
      <c r="U74" s="211">
        <f t="shared" si="20"/>
        <v>3.7075701760979363</v>
      </c>
      <c r="V74" s="125"/>
      <c r="W74" s="125"/>
      <c r="X74" s="125"/>
      <c r="Y74" s="46">
        <v>0.5</v>
      </c>
      <c r="Z74" s="125"/>
      <c r="AA74" s="125"/>
      <c r="AB74" s="125"/>
      <c r="AC74" s="125"/>
      <c r="AD74" s="125"/>
      <c r="AE74" s="125"/>
      <c r="AF74" s="101"/>
      <c r="AG74" s="101"/>
      <c r="AH74" s="101"/>
      <c r="AI74" s="101"/>
      <c r="AJ74" s="34" t="s">
        <v>29</v>
      </c>
      <c r="AK74" s="34">
        <v>5</v>
      </c>
      <c r="AL74" s="125"/>
      <c r="AM74" s="52"/>
      <c r="AN74" s="34" t="s">
        <v>490</v>
      </c>
      <c r="AO74" s="34">
        <v>0</v>
      </c>
      <c r="AP74" s="34">
        <v>3</v>
      </c>
      <c r="AQ74" s="34">
        <f t="shared" si="21"/>
        <v>3</v>
      </c>
    </row>
    <row r="75" spans="1:43" ht="15" customHeight="1" x14ac:dyDescent="0.25">
      <c r="A75" s="32" t="s">
        <v>491</v>
      </c>
      <c r="B75" s="32" t="s">
        <v>369</v>
      </c>
      <c r="C75" s="32" t="s">
        <v>589</v>
      </c>
      <c r="D75" s="32" t="s">
        <v>589</v>
      </c>
      <c r="E75" s="48" t="s">
        <v>26</v>
      </c>
      <c r="F75" s="33" t="s">
        <v>31</v>
      </c>
      <c r="G75" s="34" t="s">
        <v>600</v>
      </c>
      <c r="H75" s="34">
        <v>18</v>
      </c>
      <c r="I75" s="34" t="s">
        <v>586</v>
      </c>
      <c r="J75" s="208">
        <v>44867</v>
      </c>
      <c r="K75" s="209"/>
      <c r="L75" s="34" t="s">
        <v>66</v>
      </c>
      <c r="M75" s="36">
        <v>44889</v>
      </c>
      <c r="N75" s="212"/>
      <c r="O75" s="34">
        <v>1</v>
      </c>
      <c r="P75" s="38"/>
      <c r="Q75" s="34" t="s">
        <v>642</v>
      </c>
      <c r="R75" s="34" t="s">
        <v>269</v>
      </c>
      <c r="S75" s="34">
        <f t="shared" si="19"/>
        <v>3.7075701760979363</v>
      </c>
      <c r="T75" s="211">
        <v>5100</v>
      </c>
      <c r="U75" s="211">
        <f t="shared" si="20"/>
        <v>3.7075701760979363</v>
      </c>
      <c r="V75" s="125"/>
      <c r="W75" s="125"/>
      <c r="X75" s="125"/>
      <c r="Y75" s="46">
        <v>0.5</v>
      </c>
      <c r="Z75" s="125"/>
      <c r="AA75" s="125"/>
      <c r="AB75" s="125"/>
      <c r="AC75" s="125"/>
      <c r="AD75" s="125"/>
      <c r="AE75" s="125"/>
      <c r="AF75" s="101"/>
      <c r="AG75" s="101"/>
      <c r="AH75" s="101"/>
      <c r="AI75" s="101"/>
      <c r="AJ75" s="34" t="s">
        <v>29</v>
      </c>
      <c r="AK75" s="34">
        <v>5</v>
      </c>
      <c r="AL75" s="125"/>
      <c r="AM75" s="52"/>
      <c r="AN75" s="34" t="s">
        <v>491</v>
      </c>
      <c r="AO75" s="34">
        <v>0</v>
      </c>
      <c r="AP75" s="34">
        <v>3</v>
      </c>
      <c r="AQ75" s="34">
        <f t="shared" si="21"/>
        <v>4</v>
      </c>
    </row>
    <row r="76" spans="1:43" ht="15" customHeight="1" x14ac:dyDescent="0.25">
      <c r="A76" s="32" t="s">
        <v>492</v>
      </c>
      <c r="B76" s="32" t="s">
        <v>369</v>
      </c>
      <c r="C76" s="32" t="s">
        <v>589</v>
      </c>
      <c r="D76" s="32" t="s">
        <v>589</v>
      </c>
      <c r="E76" s="48" t="s">
        <v>26</v>
      </c>
      <c r="F76" s="33" t="s">
        <v>31</v>
      </c>
      <c r="G76" s="34" t="s">
        <v>600</v>
      </c>
      <c r="H76" s="34">
        <v>18</v>
      </c>
      <c r="I76" s="34" t="s">
        <v>586</v>
      </c>
      <c r="J76" s="208">
        <v>44867</v>
      </c>
      <c r="K76" s="209"/>
      <c r="L76" s="34" t="s">
        <v>66</v>
      </c>
      <c r="M76" s="36">
        <v>44889</v>
      </c>
      <c r="N76" s="212"/>
      <c r="O76" s="34">
        <v>1</v>
      </c>
      <c r="P76" s="38"/>
      <c r="Q76" s="34" t="s">
        <v>642</v>
      </c>
      <c r="R76" s="34" t="s">
        <v>269</v>
      </c>
      <c r="S76" s="34">
        <f t="shared" si="19"/>
        <v>3.7075701760979363</v>
      </c>
      <c r="T76" s="211">
        <v>5100</v>
      </c>
      <c r="U76" s="211">
        <f t="shared" si="20"/>
        <v>3.7075701760979363</v>
      </c>
      <c r="V76" s="125"/>
      <c r="W76" s="125"/>
      <c r="X76" s="125"/>
      <c r="Y76" s="46">
        <v>0.5</v>
      </c>
      <c r="Z76" s="125"/>
      <c r="AA76" s="125"/>
      <c r="AB76" s="125"/>
      <c r="AC76" s="125"/>
      <c r="AD76" s="125"/>
      <c r="AE76" s="125"/>
      <c r="AF76" s="101"/>
      <c r="AG76" s="101"/>
      <c r="AH76" s="101"/>
      <c r="AI76" s="101"/>
      <c r="AJ76" s="34" t="s">
        <v>29</v>
      </c>
      <c r="AK76" s="34">
        <v>5</v>
      </c>
      <c r="AL76" s="125"/>
      <c r="AM76" s="52"/>
      <c r="AN76" s="34" t="s">
        <v>492</v>
      </c>
      <c r="AO76" s="34">
        <v>0</v>
      </c>
      <c r="AP76" s="34">
        <v>3</v>
      </c>
      <c r="AQ76" s="34">
        <f t="shared" si="21"/>
        <v>2</v>
      </c>
    </row>
    <row r="77" spans="1:43" ht="15" customHeight="1" x14ac:dyDescent="0.25">
      <c r="A77" s="32" t="s">
        <v>494</v>
      </c>
      <c r="B77" s="32" t="s">
        <v>493</v>
      </c>
      <c r="C77" s="32" t="s">
        <v>589</v>
      </c>
      <c r="D77" s="32" t="s">
        <v>589</v>
      </c>
      <c r="E77" s="33" t="s">
        <v>31</v>
      </c>
      <c r="F77" s="33" t="s">
        <v>31</v>
      </c>
      <c r="G77" s="34" t="s">
        <v>600</v>
      </c>
      <c r="H77" s="34"/>
      <c r="I77" s="34"/>
      <c r="J77" s="208">
        <v>44867</v>
      </c>
      <c r="K77" s="209"/>
      <c r="L77" s="34" t="s">
        <v>66</v>
      </c>
      <c r="M77" s="36">
        <v>45148</v>
      </c>
      <c r="N77" s="212"/>
      <c r="O77" s="34">
        <v>1</v>
      </c>
      <c r="P77" s="38"/>
      <c r="Q77" s="34" t="s">
        <v>588</v>
      </c>
      <c r="R77" s="34" t="s">
        <v>588</v>
      </c>
      <c r="S77" s="34"/>
      <c r="T77" s="125"/>
      <c r="U77" s="125"/>
      <c r="V77" s="125"/>
      <c r="W77" s="125"/>
      <c r="X77" s="125"/>
      <c r="Y77" s="213"/>
      <c r="Z77" s="125"/>
      <c r="AA77" s="125"/>
      <c r="AB77" s="125"/>
      <c r="AC77" s="125"/>
      <c r="AD77" s="125"/>
      <c r="AE77" s="125"/>
      <c r="AF77" s="214"/>
      <c r="AG77" s="214"/>
      <c r="AH77" s="214"/>
      <c r="AI77" s="214"/>
      <c r="AJ77" s="34" t="s">
        <v>29</v>
      </c>
      <c r="AK77" s="125"/>
      <c r="AL77" s="125"/>
      <c r="AM77" s="52"/>
      <c r="AN77" s="34" t="s">
        <v>494</v>
      </c>
      <c r="AO77" s="34">
        <v>4</v>
      </c>
      <c r="AP77" s="34"/>
      <c r="AQ77" s="34">
        <f t="shared" si="21"/>
        <v>4</v>
      </c>
    </row>
    <row r="78" spans="1:43" ht="15" customHeight="1" thickBot="1" x14ac:dyDescent="0.3">
      <c r="A78" s="32" t="s">
        <v>495</v>
      </c>
      <c r="B78" s="32" t="s">
        <v>493</v>
      </c>
      <c r="C78" s="32" t="s">
        <v>589</v>
      </c>
      <c r="D78" s="32" t="s">
        <v>589</v>
      </c>
      <c r="E78" s="33" t="s">
        <v>31</v>
      </c>
      <c r="F78" s="33" t="s">
        <v>31</v>
      </c>
      <c r="G78" s="34" t="s">
        <v>600</v>
      </c>
      <c r="H78" s="34"/>
      <c r="I78" s="34"/>
      <c r="J78" s="208">
        <v>44867</v>
      </c>
      <c r="K78" s="209"/>
      <c r="L78" s="34" t="s">
        <v>66</v>
      </c>
      <c r="M78" s="36">
        <v>45148</v>
      </c>
      <c r="N78" s="212"/>
      <c r="O78" s="34">
        <v>1</v>
      </c>
      <c r="P78" s="38"/>
      <c r="Q78" s="34" t="s">
        <v>588</v>
      </c>
      <c r="R78" s="34" t="s">
        <v>588</v>
      </c>
      <c r="S78" s="34"/>
      <c r="T78" s="125"/>
      <c r="U78" s="125"/>
      <c r="V78" s="125"/>
      <c r="W78" s="125"/>
      <c r="X78" s="125"/>
      <c r="Y78" s="213"/>
      <c r="Z78" s="125"/>
      <c r="AA78" s="125"/>
      <c r="AB78" s="125"/>
      <c r="AC78" s="125"/>
      <c r="AD78" s="125"/>
      <c r="AE78" s="125"/>
      <c r="AF78" s="214"/>
      <c r="AG78" s="214"/>
      <c r="AH78" s="214"/>
      <c r="AI78" s="214"/>
      <c r="AJ78" s="34" t="s">
        <v>29</v>
      </c>
      <c r="AK78" s="125"/>
      <c r="AL78" s="125"/>
      <c r="AM78" s="52"/>
      <c r="AN78" s="34" t="s">
        <v>495</v>
      </c>
      <c r="AO78" s="34">
        <v>4</v>
      </c>
      <c r="AP78" s="34">
        <v>4</v>
      </c>
      <c r="AQ78" s="61">
        <f t="shared" si="21"/>
        <v>4</v>
      </c>
    </row>
    <row r="79" spans="1:43" ht="15" customHeight="1" thickTop="1" x14ac:dyDescent="0.25">
      <c r="A79" s="32" t="s">
        <v>496</v>
      </c>
      <c r="B79" s="32" t="s">
        <v>493</v>
      </c>
      <c r="C79" s="32" t="s">
        <v>589</v>
      </c>
      <c r="D79" s="32" t="s">
        <v>589</v>
      </c>
      <c r="E79" s="48" t="s">
        <v>26</v>
      </c>
      <c r="F79" s="33" t="s">
        <v>31</v>
      </c>
      <c r="G79" s="34" t="s">
        <v>600</v>
      </c>
      <c r="H79" s="34"/>
      <c r="I79" s="34"/>
      <c r="J79" s="208">
        <v>44867</v>
      </c>
      <c r="K79" s="209"/>
      <c r="L79" s="34" t="s">
        <v>66</v>
      </c>
      <c r="M79" s="36">
        <v>45148</v>
      </c>
      <c r="N79" s="212"/>
      <c r="O79" s="34">
        <v>1</v>
      </c>
      <c r="P79" s="38"/>
      <c r="Q79" s="34" t="s">
        <v>588</v>
      </c>
      <c r="R79" s="34" t="s">
        <v>588</v>
      </c>
      <c r="S79" s="34"/>
      <c r="T79" s="125"/>
      <c r="U79" s="125"/>
      <c r="V79" s="125"/>
      <c r="W79" s="125"/>
      <c r="X79" s="125"/>
      <c r="Y79" s="213"/>
      <c r="Z79" s="125"/>
      <c r="AA79" s="125"/>
      <c r="AB79" s="125"/>
      <c r="AC79" s="125"/>
      <c r="AD79" s="125"/>
      <c r="AE79" s="125"/>
      <c r="AF79" s="214"/>
      <c r="AG79" s="214"/>
      <c r="AH79" s="214"/>
      <c r="AI79" s="214"/>
      <c r="AJ79" s="34" t="s">
        <v>29</v>
      </c>
      <c r="AK79" s="125"/>
      <c r="AL79" s="125"/>
      <c r="AM79" s="52"/>
      <c r="AN79" s="34" t="s">
        <v>496</v>
      </c>
      <c r="AO79" s="215">
        <v>0</v>
      </c>
      <c r="AP79" s="34">
        <v>3</v>
      </c>
      <c r="AQ79" s="80">
        <f t="shared" si="21"/>
        <v>0</v>
      </c>
    </row>
    <row r="80" spans="1:43" ht="15" customHeight="1" x14ac:dyDescent="0.25">
      <c r="A80" s="32" t="s">
        <v>497</v>
      </c>
      <c r="B80" s="32" t="s">
        <v>493</v>
      </c>
      <c r="C80" s="32" t="s">
        <v>589</v>
      </c>
      <c r="D80" s="32" t="s">
        <v>589</v>
      </c>
      <c r="E80" s="33" t="s">
        <v>31</v>
      </c>
      <c r="F80" s="33" t="s">
        <v>31</v>
      </c>
      <c r="G80" s="34" t="s">
        <v>600</v>
      </c>
      <c r="H80" s="34"/>
      <c r="I80" s="34"/>
      <c r="J80" s="208">
        <v>44867</v>
      </c>
      <c r="K80" s="209"/>
      <c r="L80" s="34" t="s">
        <v>66</v>
      </c>
      <c r="M80" s="36">
        <v>45148</v>
      </c>
      <c r="N80" s="212"/>
      <c r="O80" s="34">
        <v>1</v>
      </c>
      <c r="P80" s="38"/>
      <c r="Q80" s="34" t="s">
        <v>588</v>
      </c>
      <c r="R80" s="34" t="s">
        <v>588</v>
      </c>
      <c r="S80" s="34"/>
      <c r="T80" s="125"/>
      <c r="U80" s="125"/>
      <c r="V80" s="125"/>
      <c r="W80" s="125"/>
      <c r="X80" s="125"/>
      <c r="Y80" s="213"/>
      <c r="Z80" s="125"/>
      <c r="AA80" s="125"/>
      <c r="AB80" s="125"/>
      <c r="AC80" s="125"/>
      <c r="AD80" s="125"/>
      <c r="AE80" s="125"/>
      <c r="AF80" s="214"/>
      <c r="AG80" s="214"/>
      <c r="AH80" s="214"/>
      <c r="AI80" s="214"/>
      <c r="AJ80" s="34" t="s">
        <v>29</v>
      </c>
      <c r="AK80" s="125"/>
      <c r="AL80" s="125"/>
      <c r="AM80" s="52"/>
      <c r="AN80" s="34" t="s">
        <v>497</v>
      </c>
      <c r="AO80" s="34">
        <v>4</v>
      </c>
      <c r="AP80" s="34">
        <v>3</v>
      </c>
      <c r="AQ80" s="34">
        <f t="shared" si="21"/>
        <v>1</v>
      </c>
    </row>
    <row r="81" spans="1:43" ht="15" customHeight="1" x14ac:dyDescent="0.25">
      <c r="A81" s="32" t="s">
        <v>498</v>
      </c>
      <c r="B81" s="32" t="s">
        <v>493</v>
      </c>
      <c r="C81" s="32" t="s">
        <v>589</v>
      </c>
      <c r="D81" s="32" t="s">
        <v>589</v>
      </c>
      <c r="E81" s="33" t="s">
        <v>31</v>
      </c>
      <c r="F81" s="33" t="s">
        <v>31</v>
      </c>
      <c r="G81" s="34" t="s">
        <v>600</v>
      </c>
      <c r="H81" s="34"/>
      <c r="I81" s="34"/>
      <c r="J81" s="208">
        <v>44867</v>
      </c>
      <c r="K81" s="209"/>
      <c r="L81" s="34" t="s">
        <v>66</v>
      </c>
      <c r="M81" s="36">
        <v>45148</v>
      </c>
      <c r="N81" s="212"/>
      <c r="O81" s="34">
        <v>1</v>
      </c>
      <c r="P81" s="38"/>
      <c r="Q81" s="34" t="s">
        <v>588</v>
      </c>
      <c r="R81" s="34" t="s">
        <v>588</v>
      </c>
      <c r="S81" s="34"/>
      <c r="T81" s="125"/>
      <c r="U81" s="125"/>
      <c r="V81" s="125"/>
      <c r="W81" s="125"/>
      <c r="X81" s="125"/>
      <c r="Y81" s="213"/>
      <c r="Z81" s="125"/>
      <c r="AA81" s="125"/>
      <c r="AB81" s="125"/>
      <c r="AC81" s="125"/>
      <c r="AD81" s="125"/>
      <c r="AE81" s="125"/>
      <c r="AF81" s="214"/>
      <c r="AG81" s="214"/>
      <c r="AH81" s="214"/>
      <c r="AI81" s="214"/>
      <c r="AJ81" s="34" t="s">
        <v>29</v>
      </c>
      <c r="AK81" s="125"/>
      <c r="AL81" s="125"/>
      <c r="AM81" s="52"/>
      <c r="AN81" s="34" t="s">
        <v>498</v>
      </c>
      <c r="AO81" s="34">
        <v>5</v>
      </c>
      <c r="AP81" s="34">
        <v>3</v>
      </c>
      <c r="AQ81" s="34">
        <f t="shared" si="21"/>
        <v>3</v>
      </c>
    </row>
    <row r="82" spans="1:43" ht="15" customHeight="1" x14ac:dyDescent="0.25">
      <c r="A82" s="32" t="s">
        <v>499</v>
      </c>
      <c r="B82" s="32" t="s">
        <v>493</v>
      </c>
      <c r="C82" s="32" t="s">
        <v>589</v>
      </c>
      <c r="D82" s="32" t="s">
        <v>589</v>
      </c>
      <c r="E82" s="48" t="s">
        <v>26</v>
      </c>
      <c r="F82" s="33" t="s">
        <v>31</v>
      </c>
      <c r="G82" s="34" t="s">
        <v>600</v>
      </c>
      <c r="H82" s="34"/>
      <c r="I82" s="34"/>
      <c r="J82" s="208">
        <v>44867</v>
      </c>
      <c r="K82" s="209"/>
      <c r="L82" s="34" t="s">
        <v>66</v>
      </c>
      <c r="M82" s="36">
        <v>45148</v>
      </c>
      <c r="N82" s="212"/>
      <c r="O82" s="34">
        <v>1</v>
      </c>
      <c r="P82" s="38"/>
      <c r="Q82" s="34" t="s">
        <v>81</v>
      </c>
      <c r="R82" s="34" t="s">
        <v>81</v>
      </c>
      <c r="S82" s="34"/>
      <c r="T82" s="125"/>
      <c r="U82" s="125"/>
      <c r="V82" s="125"/>
      <c r="W82" s="125"/>
      <c r="X82" s="125"/>
      <c r="Y82" s="213"/>
      <c r="Z82" s="125"/>
      <c r="AA82" s="125"/>
      <c r="AB82" s="125"/>
      <c r="AC82" s="125"/>
      <c r="AD82" s="125"/>
      <c r="AE82" s="125"/>
      <c r="AF82" s="214"/>
      <c r="AG82" s="214"/>
      <c r="AH82" s="214"/>
      <c r="AI82" s="214"/>
      <c r="AJ82" s="34" t="s">
        <v>29</v>
      </c>
      <c r="AK82" s="125"/>
      <c r="AL82" s="125"/>
      <c r="AM82" s="52"/>
      <c r="AN82" s="34" t="s">
        <v>499</v>
      </c>
      <c r="AO82" s="34">
        <v>0</v>
      </c>
      <c r="AP82" s="34">
        <v>2</v>
      </c>
      <c r="AQ82" s="34">
        <f t="shared" si="21"/>
        <v>0</v>
      </c>
    </row>
    <row r="83" spans="1:43" ht="15" customHeight="1" x14ac:dyDescent="0.25">
      <c r="A83" s="32" t="s">
        <v>500</v>
      </c>
      <c r="B83" s="32" t="s">
        <v>493</v>
      </c>
      <c r="C83" s="32" t="s">
        <v>589</v>
      </c>
      <c r="D83" s="32" t="s">
        <v>589</v>
      </c>
      <c r="E83" s="48" t="s">
        <v>26</v>
      </c>
      <c r="F83" s="33" t="s">
        <v>31</v>
      </c>
      <c r="G83" s="34" t="s">
        <v>600</v>
      </c>
      <c r="H83" s="34"/>
      <c r="I83" s="34"/>
      <c r="J83" s="208">
        <v>44867</v>
      </c>
      <c r="K83" s="209"/>
      <c r="L83" s="34" t="s">
        <v>66</v>
      </c>
      <c r="M83" s="36">
        <v>45148</v>
      </c>
      <c r="N83" s="212"/>
      <c r="O83" s="34">
        <v>1</v>
      </c>
      <c r="P83" s="38"/>
      <c r="Q83" s="34" t="s">
        <v>81</v>
      </c>
      <c r="R83" s="34" t="s">
        <v>81</v>
      </c>
      <c r="S83" s="34"/>
      <c r="T83" s="125"/>
      <c r="U83" s="125"/>
      <c r="V83" s="125"/>
      <c r="W83" s="125"/>
      <c r="X83" s="125"/>
      <c r="Y83" s="213"/>
      <c r="Z83" s="125"/>
      <c r="AA83" s="125"/>
      <c r="AB83" s="125"/>
      <c r="AC83" s="125"/>
      <c r="AD83" s="125"/>
      <c r="AE83" s="125"/>
      <c r="AF83" s="214"/>
      <c r="AG83" s="214"/>
      <c r="AH83" s="214"/>
      <c r="AI83" s="214"/>
      <c r="AJ83" s="34" t="s">
        <v>29</v>
      </c>
      <c r="AK83" s="125"/>
      <c r="AL83" s="125"/>
      <c r="AM83" s="52"/>
      <c r="AN83" s="34" t="s">
        <v>500</v>
      </c>
      <c r="AO83" s="34">
        <v>0</v>
      </c>
      <c r="AP83" s="34">
        <v>2</v>
      </c>
      <c r="AQ83" s="34">
        <f t="shared" si="21"/>
        <v>2</v>
      </c>
    </row>
    <row r="84" spans="1:43" ht="15" customHeight="1" x14ac:dyDescent="0.25">
      <c r="A84" s="32" t="s">
        <v>501</v>
      </c>
      <c r="B84" s="32" t="s">
        <v>493</v>
      </c>
      <c r="C84" s="32" t="s">
        <v>589</v>
      </c>
      <c r="D84" s="32" t="s">
        <v>589</v>
      </c>
      <c r="E84" s="48" t="s">
        <v>26</v>
      </c>
      <c r="F84" s="33" t="s">
        <v>31</v>
      </c>
      <c r="G84" s="34" t="s">
        <v>600</v>
      </c>
      <c r="H84" s="34"/>
      <c r="I84" s="34"/>
      <c r="J84" s="208">
        <v>44867</v>
      </c>
      <c r="K84" s="209"/>
      <c r="L84" s="34" t="s">
        <v>66</v>
      </c>
      <c r="M84" s="36">
        <v>45148</v>
      </c>
      <c r="N84" s="212"/>
      <c r="O84" s="34">
        <v>1</v>
      </c>
      <c r="P84" s="38"/>
      <c r="Q84" s="34" t="s">
        <v>81</v>
      </c>
      <c r="R84" s="34" t="s">
        <v>81</v>
      </c>
      <c r="S84" s="34"/>
      <c r="T84" s="125"/>
      <c r="U84" s="125"/>
      <c r="V84" s="125"/>
      <c r="W84" s="125"/>
      <c r="X84" s="125"/>
      <c r="Y84" s="213"/>
      <c r="Z84" s="125"/>
      <c r="AA84" s="125"/>
      <c r="AB84" s="125"/>
      <c r="AC84" s="125"/>
      <c r="AD84" s="125"/>
      <c r="AE84" s="125"/>
      <c r="AF84" s="214"/>
      <c r="AG84" s="214"/>
      <c r="AH84" s="214"/>
      <c r="AI84" s="214"/>
      <c r="AJ84" s="34" t="s">
        <v>29</v>
      </c>
      <c r="AK84" s="125"/>
      <c r="AL84" s="125"/>
      <c r="AM84" s="52"/>
      <c r="AN84" s="34" t="s">
        <v>501</v>
      </c>
      <c r="AO84" s="34">
        <v>0</v>
      </c>
      <c r="AP84" s="34">
        <v>1</v>
      </c>
      <c r="AQ84" s="34">
        <f t="shared" si="21"/>
        <v>1</v>
      </c>
    </row>
    <row r="85" spans="1:43" ht="15" customHeight="1" x14ac:dyDescent="0.25">
      <c r="A85" s="32" t="s">
        <v>502</v>
      </c>
      <c r="B85" s="32" t="s">
        <v>493</v>
      </c>
      <c r="C85" s="32" t="s">
        <v>589</v>
      </c>
      <c r="D85" s="32" t="s">
        <v>589</v>
      </c>
      <c r="E85" s="48" t="s">
        <v>26</v>
      </c>
      <c r="F85" s="33" t="s">
        <v>31</v>
      </c>
      <c r="G85" s="34" t="s">
        <v>600</v>
      </c>
      <c r="H85" s="34"/>
      <c r="I85" s="34"/>
      <c r="J85" s="208">
        <v>44867</v>
      </c>
      <c r="K85" s="209"/>
      <c r="L85" s="34" t="s">
        <v>66</v>
      </c>
      <c r="M85" s="36">
        <v>45148</v>
      </c>
      <c r="N85" s="212"/>
      <c r="O85" s="34">
        <v>1</v>
      </c>
      <c r="P85" s="38"/>
      <c r="Q85" s="34" t="s">
        <v>81</v>
      </c>
      <c r="R85" s="34" t="s">
        <v>81</v>
      </c>
      <c r="S85" s="34"/>
      <c r="T85" s="125"/>
      <c r="U85" s="125"/>
      <c r="V85" s="125"/>
      <c r="W85" s="125"/>
      <c r="X85" s="125"/>
      <c r="Y85" s="213"/>
      <c r="Z85" s="125"/>
      <c r="AA85" s="125"/>
      <c r="AB85" s="125"/>
      <c r="AC85" s="125"/>
      <c r="AD85" s="125"/>
      <c r="AE85" s="125"/>
      <c r="AF85" s="214"/>
      <c r="AG85" s="214"/>
      <c r="AH85" s="214"/>
      <c r="AI85" s="214"/>
      <c r="AJ85" s="34" t="s">
        <v>29</v>
      </c>
      <c r="AK85" s="125"/>
      <c r="AL85" s="125"/>
      <c r="AM85" s="52"/>
      <c r="AN85" s="34" t="s">
        <v>502</v>
      </c>
      <c r="AO85" s="34">
        <v>0</v>
      </c>
      <c r="AP85" s="34">
        <v>3</v>
      </c>
      <c r="AQ85" s="34">
        <f t="shared" si="21"/>
        <v>3</v>
      </c>
    </row>
    <row r="86" spans="1:43" ht="15" customHeight="1" x14ac:dyDescent="0.25">
      <c r="A86" s="32" t="s">
        <v>503</v>
      </c>
      <c r="B86" s="32" t="s">
        <v>493</v>
      </c>
      <c r="C86" s="32" t="s">
        <v>589</v>
      </c>
      <c r="D86" s="32" t="s">
        <v>589</v>
      </c>
      <c r="E86" s="48" t="s">
        <v>26</v>
      </c>
      <c r="F86" s="33" t="s">
        <v>31</v>
      </c>
      <c r="G86" s="34" t="s">
        <v>600</v>
      </c>
      <c r="H86" s="34"/>
      <c r="I86" s="34"/>
      <c r="J86" s="208">
        <v>44867</v>
      </c>
      <c r="K86" s="209"/>
      <c r="L86" s="34" t="s">
        <v>66</v>
      </c>
      <c r="M86" s="36">
        <v>45148</v>
      </c>
      <c r="N86" s="212"/>
      <c r="O86" s="34">
        <v>1</v>
      </c>
      <c r="P86" s="38"/>
      <c r="Q86" s="34" t="s">
        <v>81</v>
      </c>
      <c r="R86" s="34" t="s">
        <v>81</v>
      </c>
      <c r="S86" s="34"/>
      <c r="T86" s="125"/>
      <c r="U86" s="125"/>
      <c r="V86" s="125"/>
      <c r="W86" s="125"/>
      <c r="X86" s="125"/>
      <c r="Y86" s="213"/>
      <c r="Z86" s="125"/>
      <c r="AA86" s="125"/>
      <c r="AB86" s="125"/>
      <c r="AC86" s="125"/>
      <c r="AD86" s="125"/>
      <c r="AE86" s="125"/>
      <c r="AF86" s="214"/>
      <c r="AG86" s="214"/>
      <c r="AH86" s="214"/>
      <c r="AI86" s="214"/>
      <c r="AJ86" s="34" t="s">
        <v>29</v>
      </c>
      <c r="AK86" s="125"/>
      <c r="AL86" s="125"/>
      <c r="AM86" s="52"/>
      <c r="AN86" s="34" t="s">
        <v>503</v>
      </c>
      <c r="AO86" s="34">
        <v>0</v>
      </c>
      <c r="AP86" s="34">
        <v>2</v>
      </c>
      <c r="AQ86" s="34">
        <f t="shared" si="21"/>
        <v>3</v>
      </c>
    </row>
    <row r="87" spans="1:43" ht="15" customHeight="1" x14ac:dyDescent="0.25">
      <c r="A87" s="32" t="s">
        <v>504</v>
      </c>
      <c r="B87" s="32" t="s">
        <v>493</v>
      </c>
      <c r="C87" s="32" t="s">
        <v>589</v>
      </c>
      <c r="D87" s="32" t="s">
        <v>589</v>
      </c>
      <c r="E87" s="48" t="s">
        <v>26</v>
      </c>
      <c r="F87" s="33" t="s">
        <v>31</v>
      </c>
      <c r="G87" s="34" t="s">
        <v>600</v>
      </c>
      <c r="H87" s="34"/>
      <c r="I87" s="34"/>
      <c r="J87" s="208">
        <v>44867</v>
      </c>
      <c r="K87" s="209"/>
      <c r="L87" s="34" t="s">
        <v>66</v>
      </c>
      <c r="M87" s="36">
        <v>45148</v>
      </c>
      <c r="N87" s="212"/>
      <c r="O87" s="34">
        <v>1</v>
      </c>
      <c r="P87" s="38"/>
      <c r="Q87" s="34" t="s">
        <v>81</v>
      </c>
      <c r="R87" s="34" t="s">
        <v>81</v>
      </c>
      <c r="S87" s="34"/>
      <c r="T87" s="125"/>
      <c r="U87" s="125"/>
      <c r="V87" s="125"/>
      <c r="W87" s="125"/>
      <c r="X87" s="125"/>
      <c r="Y87" s="213"/>
      <c r="Z87" s="125"/>
      <c r="AA87" s="125"/>
      <c r="AB87" s="125"/>
      <c r="AC87" s="125"/>
      <c r="AD87" s="125"/>
      <c r="AE87" s="125"/>
      <c r="AF87" s="214"/>
      <c r="AG87" s="214"/>
      <c r="AH87" s="214"/>
      <c r="AI87" s="214"/>
      <c r="AJ87" s="34" t="s">
        <v>29</v>
      </c>
      <c r="AK87" s="125"/>
      <c r="AL87" s="125"/>
      <c r="AM87" s="52"/>
      <c r="AN87" s="34" t="s">
        <v>504</v>
      </c>
      <c r="AO87" s="34">
        <v>0</v>
      </c>
      <c r="AP87" s="34">
        <v>2</v>
      </c>
      <c r="AQ87" s="34">
        <f t="shared" si="21"/>
        <v>1</v>
      </c>
    </row>
    <row r="88" spans="1:43" ht="15" customHeight="1" x14ac:dyDescent="0.25">
      <c r="A88" s="32" t="s">
        <v>505</v>
      </c>
      <c r="B88" s="32" t="s">
        <v>493</v>
      </c>
      <c r="C88" s="32" t="s">
        <v>589</v>
      </c>
      <c r="D88" s="32" t="s">
        <v>589</v>
      </c>
      <c r="E88" s="48" t="s">
        <v>26</v>
      </c>
      <c r="F88" s="48" t="s">
        <v>26</v>
      </c>
      <c r="G88" s="34" t="s">
        <v>600</v>
      </c>
      <c r="H88" s="34"/>
      <c r="I88" s="34"/>
      <c r="J88" s="208">
        <v>44867</v>
      </c>
      <c r="K88" s="209"/>
      <c r="L88" s="34" t="s">
        <v>66</v>
      </c>
      <c r="M88" s="36">
        <v>45148</v>
      </c>
      <c r="N88" s="212"/>
      <c r="O88" s="34">
        <v>1</v>
      </c>
      <c r="P88" s="38"/>
      <c r="Q88" s="34" t="s">
        <v>588</v>
      </c>
      <c r="R88" s="34" t="s">
        <v>588</v>
      </c>
      <c r="S88" s="34"/>
      <c r="T88" s="125"/>
      <c r="U88" s="125"/>
      <c r="V88" s="125"/>
      <c r="W88" s="125"/>
      <c r="X88" s="125"/>
      <c r="Y88" s="213"/>
      <c r="Z88" s="125"/>
      <c r="AA88" s="125"/>
      <c r="AB88" s="125"/>
      <c r="AC88" s="125"/>
      <c r="AD88" s="125"/>
      <c r="AE88" s="125"/>
      <c r="AF88" s="214"/>
      <c r="AG88" s="214"/>
      <c r="AH88" s="214"/>
      <c r="AI88" s="214"/>
      <c r="AJ88" s="34" t="s">
        <v>60</v>
      </c>
      <c r="AK88" s="125"/>
      <c r="AL88" s="125"/>
      <c r="AM88" s="52"/>
      <c r="AN88" s="34" t="s">
        <v>505</v>
      </c>
      <c r="AO88" s="34">
        <v>0</v>
      </c>
      <c r="AP88" s="34">
        <v>0</v>
      </c>
      <c r="AQ88" s="34">
        <f t="shared" si="21"/>
        <v>1</v>
      </c>
    </row>
    <row r="89" spans="1:43" ht="15" customHeight="1" thickBot="1" x14ac:dyDescent="0.3">
      <c r="A89" s="103" t="s">
        <v>506</v>
      </c>
      <c r="B89" s="103" t="s">
        <v>493</v>
      </c>
      <c r="C89" s="103" t="s">
        <v>589</v>
      </c>
      <c r="D89" s="103" t="s">
        <v>589</v>
      </c>
      <c r="E89" s="141" t="s">
        <v>26</v>
      </c>
      <c r="F89" s="104" t="s">
        <v>31</v>
      </c>
      <c r="G89" s="105" t="s">
        <v>600</v>
      </c>
      <c r="H89" s="105"/>
      <c r="I89" s="105"/>
      <c r="J89" s="165">
        <v>44867</v>
      </c>
      <c r="K89" s="216"/>
      <c r="L89" s="105" t="s">
        <v>66</v>
      </c>
      <c r="M89" s="107">
        <v>45148</v>
      </c>
      <c r="N89" s="217"/>
      <c r="O89" s="105">
        <v>1</v>
      </c>
      <c r="P89" s="183"/>
      <c r="Q89" s="105" t="s">
        <v>588</v>
      </c>
      <c r="R89" s="105" t="s">
        <v>588</v>
      </c>
      <c r="S89" s="105"/>
      <c r="T89" s="170"/>
      <c r="U89" s="170"/>
      <c r="V89" s="170"/>
      <c r="W89" s="170"/>
      <c r="X89" s="170"/>
      <c r="Y89" s="218"/>
      <c r="Z89" s="170"/>
      <c r="AA89" s="170"/>
      <c r="AB89" s="170"/>
      <c r="AC89" s="170"/>
      <c r="AD89" s="170"/>
      <c r="AE89" s="170"/>
      <c r="AF89" s="219"/>
      <c r="AG89" s="219"/>
      <c r="AH89" s="219"/>
      <c r="AI89" s="219"/>
      <c r="AJ89" s="105" t="s">
        <v>60</v>
      </c>
      <c r="AK89" s="170"/>
      <c r="AL89" s="170"/>
      <c r="AM89" s="117"/>
      <c r="AN89" s="105" t="s">
        <v>506</v>
      </c>
      <c r="AO89" s="105">
        <v>0</v>
      </c>
      <c r="AP89" s="105">
        <v>1</v>
      </c>
      <c r="AQ89" s="34">
        <f t="shared" si="21"/>
        <v>2</v>
      </c>
    </row>
    <row r="90" spans="1:43" ht="15" customHeight="1" thickTop="1" x14ac:dyDescent="0.25">
      <c r="A90" s="15" t="s">
        <v>508</v>
      </c>
      <c r="B90" s="15" t="s">
        <v>507</v>
      </c>
      <c r="C90" s="15" t="s">
        <v>589</v>
      </c>
      <c r="D90" s="15" t="s">
        <v>589</v>
      </c>
      <c r="E90" s="17" t="s">
        <v>31</v>
      </c>
      <c r="F90" s="16" t="s">
        <v>26</v>
      </c>
      <c r="G90" s="18" t="s">
        <v>600</v>
      </c>
      <c r="H90" s="18">
        <v>14</v>
      </c>
      <c r="I90" s="18" t="s">
        <v>586</v>
      </c>
      <c r="J90" s="19">
        <v>44872</v>
      </c>
      <c r="K90" s="20">
        <v>44879</v>
      </c>
      <c r="L90" s="18" t="s">
        <v>66</v>
      </c>
      <c r="M90" s="20">
        <v>44900</v>
      </c>
      <c r="N90" s="21">
        <f t="shared" ref="N90:N135" si="22">_xlfn.DAYS(M90,K90)</f>
        <v>21</v>
      </c>
      <c r="O90" s="18">
        <v>1</v>
      </c>
      <c r="P90" s="22"/>
      <c r="Q90" s="201"/>
      <c r="R90" s="201"/>
      <c r="S90" s="201"/>
      <c r="T90" s="201"/>
      <c r="U90" s="201"/>
      <c r="V90" s="119">
        <v>0</v>
      </c>
      <c r="W90" s="119">
        <v>3</v>
      </c>
      <c r="X90" s="119">
        <v>3</v>
      </c>
      <c r="Y90" s="201"/>
      <c r="Z90" s="201"/>
      <c r="AA90" s="201"/>
      <c r="AB90" s="201"/>
      <c r="AC90" s="201"/>
      <c r="AD90" s="201"/>
      <c r="AE90" s="201"/>
      <c r="AF90" s="173"/>
      <c r="AG90" s="173"/>
      <c r="AH90" s="173"/>
      <c r="AI90" s="173"/>
      <c r="AJ90" s="119" t="s">
        <v>29</v>
      </c>
      <c r="AK90" s="18">
        <v>7</v>
      </c>
      <c r="AL90" s="201"/>
      <c r="AM90" s="202"/>
      <c r="AN90" s="18" t="s">
        <v>508</v>
      </c>
      <c r="AO90" s="18">
        <v>5</v>
      </c>
      <c r="AP90" s="18">
        <v>0</v>
      </c>
      <c r="AQ90" s="105">
        <f t="shared" si="21"/>
        <v>2</v>
      </c>
    </row>
    <row r="91" spans="1:43" ht="15" customHeight="1" thickBot="1" x14ac:dyDescent="0.3">
      <c r="A91" s="58" t="s">
        <v>509</v>
      </c>
      <c r="B91" s="58" t="s">
        <v>507</v>
      </c>
      <c r="C91" s="58" t="s">
        <v>589</v>
      </c>
      <c r="D91" s="58" t="s">
        <v>589</v>
      </c>
      <c r="E91" s="60" t="s">
        <v>31</v>
      </c>
      <c r="F91" s="60" t="s">
        <v>31</v>
      </c>
      <c r="G91" s="61" t="s">
        <v>600</v>
      </c>
      <c r="H91" s="61">
        <v>14</v>
      </c>
      <c r="I91" s="61" t="s">
        <v>586</v>
      </c>
      <c r="J91" s="62">
        <v>44872</v>
      </c>
      <c r="K91" s="63">
        <v>44879</v>
      </c>
      <c r="L91" s="61" t="s">
        <v>66</v>
      </c>
      <c r="M91" s="63">
        <v>44900</v>
      </c>
      <c r="N91" s="64">
        <f t="shared" si="22"/>
        <v>21</v>
      </c>
      <c r="O91" s="61">
        <v>1</v>
      </c>
      <c r="P91" s="65"/>
      <c r="Q91" s="203"/>
      <c r="R91" s="203"/>
      <c r="S91" s="203"/>
      <c r="T91" s="203"/>
      <c r="U91" s="203"/>
      <c r="V91" s="66">
        <v>7</v>
      </c>
      <c r="W91" s="66">
        <v>3</v>
      </c>
      <c r="X91" s="66">
        <v>3</v>
      </c>
      <c r="Y91" s="203"/>
      <c r="Z91" s="203"/>
      <c r="AA91" s="203"/>
      <c r="AB91" s="203"/>
      <c r="AC91" s="203"/>
      <c r="AD91" s="203"/>
      <c r="AE91" s="203"/>
      <c r="AF91" s="168"/>
      <c r="AG91" s="168"/>
      <c r="AH91" s="168"/>
      <c r="AI91" s="168"/>
      <c r="AJ91" s="66" t="s">
        <v>29</v>
      </c>
      <c r="AK91" s="61">
        <v>7</v>
      </c>
      <c r="AL91" s="203"/>
      <c r="AM91" s="204"/>
      <c r="AN91" s="61" t="s">
        <v>509</v>
      </c>
      <c r="AO91" s="61">
        <v>5</v>
      </c>
      <c r="AP91" s="61">
        <v>3</v>
      </c>
      <c r="AQ91" s="80">
        <f t="shared" si="21"/>
        <v>2</v>
      </c>
    </row>
    <row r="92" spans="1:43" ht="15" customHeight="1" thickTop="1" thickBot="1" x14ac:dyDescent="0.3">
      <c r="A92" s="220" t="s">
        <v>510</v>
      </c>
      <c r="B92" s="220" t="s">
        <v>77</v>
      </c>
      <c r="C92" s="220" t="s">
        <v>584</v>
      </c>
      <c r="D92" s="220" t="s">
        <v>584</v>
      </c>
      <c r="E92" s="221" t="s">
        <v>26</v>
      </c>
      <c r="F92" s="222" t="s">
        <v>31</v>
      </c>
      <c r="G92" s="215" t="s">
        <v>61</v>
      </c>
      <c r="H92" s="215">
        <v>18</v>
      </c>
      <c r="I92" s="215" t="s">
        <v>586</v>
      </c>
      <c r="J92" s="223">
        <v>44370</v>
      </c>
      <c r="K92" s="223">
        <v>44375</v>
      </c>
      <c r="L92" s="215" t="s">
        <v>66</v>
      </c>
      <c r="M92" s="223">
        <v>44592</v>
      </c>
      <c r="N92" s="224">
        <f t="shared" si="22"/>
        <v>217</v>
      </c>
      <c r="O92" s="215">
        <v>1</v>
      </c>
      <c r="P92" s="215" t="s">
        <v>612</v>
      </c>
      <c r="Q92" s="215" t="s">
        <v>588</v>
      </c>
      <c r="R92" s="215" t="s">
        <v>588</v>
      </c>
      <c r="S92" s="215">
        <f t="shared" si="19"/>
        <v>5</v>
      </c>
      <c r="T92" s="225">
        <v>100000</v>
      </c>
      <c r="U92" s="225">
        <f t="shared" si="20"/>
        <v>5</v>
      </c>
      <c r="V92" s="226">
        <v>21</v>
      </c>
      <c r="W92" s="227">
        <v>0</v>
      </c>
      <c r="X92" s="227">
        <v>0</v>
      </c>
      <c r="Y92" s="226">
        <v>0</v>
      </c>
      <c r="Z92" s="228">
        <v>12650900.023491239</v>
      </c>
      <c r="AA92" s="228">
        <f t="shared" ref="AA92:AA135" si="23">LOG10(Z92)</f>
        <v>7.1021214236408072</v>
      </c>
      <c r="AB92" s="228">
        <v>5.82818852175052</v>
      </c>
      <c r="AC92" s="228">
        <f t="shared" si="14"/>
        <v>0.76553359125028364</v>
      </c>
      <c r="AD92" s="228">
        <v>2602583.5283229598</v>
      </c>
      <c r="AE92" s="228">
        <f t="shared" ref="AE92:AE135" si="24">LOG10(AD92)</f>
        <v>6.4154046768214252</v>
      </c>
      <c r="AF92" s="229">
        <v>0</v>
      </c>
      <c r="AG92" s="226">
        <v>0</v>
      </c>
      <c r="AH92" s="226">
        <v>0</v>
      </c>
      <c r="AI92" s="226">
        <v>0</v>
      </c>
      <c r="AJ92" s="226" t="s">
        <v>78</v>
      </c>
      <c r="AK92" s="226">
        <v>5</v>
      </c>
      <c r="AL92" s="226" t="s">
        <v>30</v>
      </c>
      <c r="AM92" s="230" t="s">
        <v>643</v>
      </c>
      <c r="AN92" s="226" t="s">
        <v>510</v>
      </c>
      <c r="AO92" s="226">
        <v>0</v>
      </c>
      <c r="AP92" s="226">
        <v>2</v>
      </c>
      <c r="AQ92" s="34">
        <f t="shared" si="21"/>
        <v>0</v>
      </c>
    </row>
    <row r="93" spans="1:43" ht="15" customHeight="1" thickTop="1" thickBot="1" x14ac:dyDescent="0.3">
      <c r="A93" s="15" t="s">
        <v>511</v>
      </c>
      <c r="B93" s="15" t="s">
        <v>80</v>
      </c>
      <c r="C93" s="15" t="s">
        <v>584</v>
      </c>
      <c r="D93" s="15" t="s">
        <v>584</v>
      </c>
      <c r="E93" s="16" t="s">
        <v>26</v>
      </c>
      <c r="F93" s="17" t="s">
        <v>31</v>
      </c>
      <c r="G93" s="18" t="s">
        <v>61</v>
      </c>
      <c r="H93" s="18">
        <v>34</v>
      </c>
      <c r="I93" s="18" t="s">
        <v>586</v>
      </c>
      <c r="J93" s="19">
        <v>44582</v>
      </c>
      <c r="K93" s="20">
        <v>44587</v>
      </c>
      <c r="L93" s="18" t="s">
        <v>66</v>
      </c>
      <c r="M93" s="20">
        <v>44592</v>
      </c>
      <c r="N93" s="21">
        <f t="shared" si="22"/>
        <v>5</v>
      </c>
      <c r="O93" s="18">
        <v>1</v>
      </c>
      <c r="P93" s="118" t="s">
        <v>612</v>
      </c>
      <c r="Q93" s="18" t="s">
        <v>81</v>
      </c>
      <c r="R93" s="18" t="s">
        <v>81</v>
      </c>
      <c r="S93" s="18">
        <f t="shared" si="19"/>
        <v>4.9030899869919438</v>
      </c>
      <c r="T93" s="23">
        <v>80000</v>
      </c>
      <c r="U93" s="23">
        <f t="shared" si="20"/>
        <v>4.9030899869919438</v>
      </c>
      <c r="V93" s="24">
        <v>20</v>
      </c>
      <c r="W93" s="25">
        <v>0</v>
      </c>
      <c r="X93" s="25">
        <v>0</v>
      </c>
      <c r="Y93" s="24">
        <v>1</v>
      </c>
      <c r="Z93" s="26">
        <v>3069372.1159999999</v>
      </c>
      <c r="AA93" s="26">
        <f t="shared" si="23"/>
        <v>6.487049543410234</v>
      </c>
      <c r="AB93" s="26">
        <v>7.5031978601160096</v>
      </c>
      <c r="AC93" s="26">
        <f t="shared" si="14"/>
        <v>0.87524639899229162</v>
      </c>
      <c r="AD93" s="26">
        <v>286876.90600000002</v>
      </c>
      <c r="AE93" s="26">
        <f t="shared" si="24"/>
        <v>5.4576955883280736</v>
      </c>
      <c r="AF93" s="29">
        <v>0</v>
      </c>
      <c r="AG93" s="24">
        <v>0</v>
      </c>
      <c r="AH93" s="24">
        <v>0</v>
      </c>
      <c r="AI93" s="24">
        <v>0</v>
      </c>
      <c r="AJ93" s="24" t="s">
        <v>82</v>
      </c>
      <c r="AK93" s="24">
        <v>5</v>
      </c>
      <c r="AL93" s="24" t="s">
        <v>30</v>
      </c>
      <c r="AM93" s="31"/>
      <c r="AN93" s="24" t="s">
        <v>511</v>
      </c>
      <c r="AO93" s="24">
        <v>0</v>
      </c>
      <c r="AP93" s="24">
        <v>1</v>
      </c>
      <c r="AQ93" s="105">
        <f t="shared" si="21"/>
        <v>3</v>
      </c>
    </row>
    <row r="94" spans="1:43" ht="15" customHeight="1" thickTop="1" x14ac:dyDescent="0.25">
      <c r="A94" s="32" t="s">
        <v>512</v>
      </c>
      <c r="B94" s="32" t="s">
        <v>80</v>
      </c>
      <c r="C94" s="32" t="s">
        <v>584</v>
      </c>
      <c r="D94" s="32" t="s">
        <v>584</v>
      </c>
      <c r="E94" s="48" t="s">
        <v>26</v>
      </c>
      <c r="F94" s="33" t="s">
        <v>31</v>
      </c>
      <c r="G94" s="34" t="s">
        <v>61</v>
      </c>
      <c r="H94" s="34">
        <v>24</v>
      </c>
      <c r="I94" s="34" t="s">
        <v>586</v>
      </c>
      <c r="J94" s="35">
        <v>44582</v>
      </c>
      <c r="K94" s="36">
        <v>44587</v>
      </c>
      <c r="L94" s="34" t="s">
        <v>66</v>
      </c>
      <c r="M94" s="36">
        <v>44592</v>
      </c>
      <c r="N94" s="37">
        <f t="shared" si="22"/>
        <v>5</v>
      </c>
      <c r="O94" s="34">
        <v>1</v>
      </c>
      <c r="P94" s="38"/>
      <c r="Q94" s="34" t="s">
        <v>81</v>
      </c>
      <c r="R94" s="34" t="s">
        <v>81</v>
      </c>
      <c r="S94" s="34">
        <f t="shared" si="19"/>
        <v>4.9030899869919438</v>
      </c>
      <c r="T94" s="39">
        <v>80000</v>
      </c>
      <c r="U94" s="39">
        <f t="shared" si="20"/>
        <v>4.9030899869919438</v>
      </c>
      <c r="V94" s="40">
        <v>24</v>
      </c>
      <c r="W94" s="53">
        <v>0</v>
      </c>
      <c r="X94" s="53">
        <v>0</v>
      </c>
      <c r="Y94" s="40">
        <v>1</v>
      </c>
      <c r="Z94" s="43">
        <v>18199555.920000002</v>
      </c>
      <c r="AA94" s="43">
        <f t="shared" si="23"/>
        <v>7.2600607910704333</v>
      </c>
      <c r="AB94" s="43">
        <v>10.356675855658599</v>
      </c>
      <c r="AC94" s="43">
        <f t="shared" si="14"/>
        <v>1.0152203838645737</v>
      </c>
      <c r="AD94" s="43">
        <v>188635.08100000001</v>
      </c>
      <c r="AE94" s="43">
        <f t="shared" si="24"/>
        <v>5.2756224628866688</v>
      </c>
      <c r="AF94" s="46">
        <v>0</v>
      </c>
      <c r="AG94" s="40">
        <v>0</v>
      </c>
      <c r="AH94" s="40">
        <v>0</v>
      </c>
      <c r="AI94" s="40">
        <v>0</v>
      </c>
      <c r="AJ94" s="40" t="s">
        <v>82</v>
      </c>
      <c r="AK94" s="40">
        <v>5</v>
      </c>
      <c r="AL94" s="40" t="s">
        <v>30</v>
      </c>
      <c r="AM94" s="47"/>
      <c r="AN94" s="40" t="s">
        <v>512</v>
      </c>
      <c r="AO94" s="40">
        <v>0</v>
      </c>
      <c r="AP94" s="40">
        <v>3</v>
      </c>
      <c r="AQ94" s="18">
        <f t="shared" si="21"/>
        <v>0</v>
      </c>
    </row>
    <row r="95" spans="1:43" ht="15" customHeight="1" x14ac:dyDescent="0.25">
      <c r="A95" s="32" t="s">
        <v>513</v>
      </c>
      <c r="B95" s="32" t="s">
        <v>80</v>
      </c>
      <c r="C95" s="32" t="s">
        <v>589</v>
      </c>
      <c r="D95" s="32" t="s">
        <v>584</v>
      </c>
      <c r="E95" s="33" t="s">
        <v>31</v>
      </c>
      <c r="F95" s="33" t="s">
        <v>31</v>
      </c>
      <c r="G95" s="34" t="s">
        <v>61</v>
      </c>
      <c r="H95" s="34">
        <v>7</v>
      </c>
      <c r="I95" s="34" t="s">
        <v>586</v>
      </c>
      <c r="J95" s="35">
        <v>44582</v>
      </c>
      <c r="K95" s="36">
        <v>44587</v>
      </c>
      <c r="L95" s="34" t="s">
        <v>66</v>
      </c>
      <c r="M95" s="36">
        <v>44592</v>
      </c>
      <c r="N95" s="37">
        <f t="shared" si="22"/>
        <v>5</v>
      </c>
      <c r="O95" s="34">
        <v>1</v>
      </c>
      <c r="P95" s="97"/>
      <c r="Q95" s="34" t="s">
        <v>81</v>
      </c>
      <c r="R95" s="34" t="s">
        <v>81</v>
      </c>
      <c r="S95" s="34">
        <f t="shared" si="19"/>
        <v>4.9030899869919438</v>
      </c>
      <c r="T95" s="39">
        <v>80000</v>
      </c>
      <c r="U95" s="39">
        <f t="shared" si="20"/>
        <v>4.9030899869919438</v>
      </c>
      <c r="V95" s="40">
        <v>21</v>
      </c>
      <c r="W95" s="53">
        <v>0</v>
      </c>
      <c r="X95" s="53">
        <v>0</v>
      </c>
      <c r="Y95" s="40">
        <v>1</v>
      </c>
      <c r="Z95" s="43">
        <v>96308888</v>
      </c>
      <c r="AA95" s="43">
        <f t="shared" si="23"/>
        <v>7.9836663684457863</v>
      </c>
      <c r="AB95" s="44"/>
      <c r="AC95" s="44"/>
      <c r="AD95" s="43">
        <v>265827414</v>
      </c>
      <c r="AE95" s="43">
        <f t="shared" si="24"/>
        <v>8.4245997664299015</v>
      </c>
      <c r="AF95" s="45">
        <v>3000000</v>
      </c>
      <c r="AG95" s="43">
        <f t="shared" ref="AG95:AG126" si="25">LOG10(AF95)</f>
        <v>6.4771212547196626</v>
      </c>
      <c r="AH95" s="46">
        <v>4.6989700043360187</v>
      </c>
      <c r="AI95" s="43">
        <f>LOG10(AH95)</f>
        <v>0.67200267273248016</v>
      </c>
      <c r="AJ95" s="40" t="s">
        <v>29</v>
      </c>
      <c r="AK95" s="40">
        <v>5</v>
      </c>
      <c r="AL95" s="40" t="s">
        <v>30</v>
      </c>
      <c r="AM95" s="47"/>
      <c r="AN95" s="40" t="s">
        <v>513</v>
      </c>
      <c r="AO95" s="40">
        <v>3</v>
      </c>
      <c r="AP95" s="40">
        <v>4</v>
      </c>
      <c r="AQ95" s="34">
        <f t="shared" si="21"/>
        <v>0</v>
      </c>
    </row>
    <row r="96" spans="1:43" ht="15" customHeight="1" x14ac:dyDescent="0.25">
      <c r="A96" s="32" t="s">
        <v>514</v>
      </c>
      <c r="B96" s="32" t="s">
        <v>80</v>
      </c>
      <c r="C96" s="32" t="s">
        <v>589</v>
      </c>
      <c r="D96" s="32" t="s">
        <v>589</v>
      </c>
      <c r="E96" s="33" t="s">
        <v>31</v>
      </c>
      <c r="F96" s="33" t="s">
        <v>31</v>
      </c>
      <c r="G96" s="34" t="s">
        <v>600</v>
      </c>
      <c r="H96" s="34">
        <v>7</v>
      </c>
      <c r="I96" s="34" t="s">
        <v>586</v>
      </c>
      <c r="J96" s="35">
        <v>44582</v>
      </c>
      <c r="K96" s="36">
        <v>44587</v>
      </c>
      <c r="L96" s="34" t="s">
        <v>66</v>
      </c>
      <c r="M96" s="36">
        <v>44592</v>
      </c>
      <c r="N96" s="37">
        <f t="shared" si="22"/>
        <v>5</v>
      </c>
      <c r="O96" s="34">
        <v>1</v>
      </c>
      <c r="P96" s="97"/>
      <c r="Q96" s="34" t="s">
        <v>81</v>
      </c>
      <c r="R96" s="34" t="s">
        <v>81</v>
      </c>
      <c r="S96" s="34">
        <f t="shared" si="19"/>
        <v>4.9030899869919438</v>
      </c>
      <c r="T96" s="39">
        <v>80000</v>
      </c>
      <c r="U96" s="39">
        <f t="shared" si="20"/>
        <v>4.9030899869919438</v>
      </c>
      <c r="V96" s="34">
        <v>12</v>
      </c>
      <c r="W96" s="34">
        <v>2</v>
      </c>
      <c r="X96" s="34" t="s">
        <v>644</v>
      </c>
      <c r="Y96" s="34">
        <v>1</v>
      </c>
      <c r="Z96" s="34">
        <v>7.6098181114295071</v>
      </c>
      <c r="AA96" s="34">
        <f t="shared" si="23"/>
        <v>0.88137427646222599</v>
      </c>
      <c r="AB96" s="125"/>
      <c r="AC96" s="125"/>
      <c r="AD96" s="34">
        <v>10.533009022495486</v>
      </c>
      <c r="AE96" s="34">
        <f t="shared" si="24"/>
        <v>1.022552456198526</v>
      </c>
      <c r="AF96" s="34">
        <v>6.0511525224473814</v>
      </c>
      <c r="AG96" s="34">
        <f t="shared" si="25"/>
        <v>0.78183809968874163</v>
      </c>
      <c r="AH96" s="34">
        <v>3.8750612633917001</v>
      </c>
      <c r="AI96" s="43">
        <f t="shared" ref="AI96:AI111" si="26">LOG10(AH96)</f>
        <v>0.58827857294365504</v>
      </c>
      <c r="AJ96" s="34" t="s">
        <v>29</v>
      </c>
      <c r="AK96" s="34">
        <v>5</v>
      </c>
      <c r="AL96" s="34"/>
      <c r="AM96" s="52"/>
      <c r="AN96" s="34" t="s">
        <v>514</v>
      </c>
      <c r="AO96" s="34">
        <v>3</v>
      </c>
      <c r="AP96" s="34">
        <v>2</v>
      </c>
      <c r="AQ96" s="34">
        <f t="shared" si="21"/>
        <v>0</v>
      </c>
    </row>
    <row r="97" spans="1:43" ht="15" customHeight="1" x14ac:dyDescent="0.25">
      <c r="A97" s="32" t="s">
        <v>515</v>
      </c>
      <c r="B97" s="32" t="s">
        <v>80</v>
      </c>
      <c r="C97" s="32" t="s">
        <v>589</v>
      </c>
      <c r="D97" s="32" t="s">
        <v>589</v>
      </c>
      <c r="E97" s="33" t="s">
        <v>31</v>
      </c>
      <c r="F97" s="33" t="s">
        <v>31</v>
      </c>
      <c r="G97" s="34" t="s">
        <v>600</v>
      </c>
      <c r="H97" s="34">
        <v>7</v>
      </c>
      <c r="I97" s="34" t="s">
        <v>586</v>
      </c>
      <c r="J97" s="35">
        <v>44582</v>
      </c>
      <c r="K97" s="36">
        <v>44587</v>
      </c>
      <c r="L97" s="34" t="s">
        <v>66</v>
      </c>
      <c r="M97" s="36">
        <v>44592</v>
      </c>
      <c r="N97" s="37">
        <f t="shared" si="22"/>
        <v>5</v>
      </c>
      <c r="O97" s="34">
        <v>1</v>
      </c>
      <c r="P97" s="97"/>
      <c r="Q97" s="34" t="s">
        <v>81</v>
      </c>
      <c r="R97" s="34" t="s">
        <v>81</v>
      </c>
      <c r="S97" s="34">
        <f t="shared" si="19"/>
        <v>4.9030899869919438</v>
      </c>
      <c r="T97" s="39">
        <v>80000</v>
      </c>
      <c r="U97" s="39">
        <f t="shared" si="20"/>
        <v>4.9030899869919438</v>
      </c>
      <c r="V97" s="34">
        <v>18</v>
      </c>
      <c r="W97" s="34">
        <v>3</v>
      </c>
      <c r="X97" s="34" t="s">
        <v>644</v>
      </c>
      <c r="Y97" s="34">
        <v>2</v>
      </c>
      <c r="Z97" s="34">
        <v>7.044685628265956</v>
      </c>
      <c r="AA97" s="34">
        <f t="shared" si="23"/>
        <v>0.84786161732391807</v>
      </c>
      <c r="AB97" s="125"/>
      <c r="AC97" s="125"/>
      <c r="AD97" s="34">
        <v>10.764601995563336</v>
      </c>
      <c r="AE97" s="34">
        <f t="shared" si="24"/>
        <v>1.0319979770925272</v>
      </c>
      <c r="AF97" s="34">
        <v>6.6283889300503116</v>
      </c>
      <c r="AG97" s="34">
        <f t="shared" si="25"/>
        <v>0.82140798333496945</v>
      </c>
      <c r="AH97" s="34">
        <v>4.8893017025063106</v>
      </c>
      <c r="AI97" s="43">
        <f t="shared" si="26"/>
        <v>0.68924683695517153</v>
      </c>
      <c r="AJ97" s="34" t="s">
        <v>29</v>
      </c>
      <c r="AK97" s="34">
        <v>5</v>
      </c>
      <c r="AL97" s="34"/>
      <c r="AM97" s="52"/>
      <c r="AN97" s="34" t="s">
        <v>515</v>
      </c>
      <c r="AO97" s="34">
        <v>5</v>
      </c>
      <c r="AP97" s="34">
        <v>4</v>
      </c>
      <c r="AQ97" s="34">
        <f t="shared" si="21"/>
        <v>0</v>
      </c>
    </row>
    <row r="98" spans="1:43" ht="15" customHeight="1" thickBot="1" x14ac:dyDescent="0.3">
      <c r="A98" s="58" t="s">
        <v>516</v>
      </c>
      <c r="B98" s="58" t="s">
        <v>80</v>
      </c>
      <c r="C98" s="58" t="s">
        <v>589</v>
      </c>
      <c r="D98" s="58" t="s">
        <v>589</v>
      </c>
      <c r="E98" s="60" t="s">
        <v>31</v>
      </c>
      <c r="F98" s="60" t="s">
        <v>31</v>
      </c>
      <c r="G98" s="61" t="s">
        <v>600</v>
      </c>
      <c r="H98" s="61">
        <v>7</v>
      </c>
      <c r="I98" s="61" t="s">
        <v>586</v>
      </c>
      <c r="J98" s="62">
        <v>44582</v>
      </c>
      <c r="K98" s="63">
        <v>44587</v>
      </c>
      <c r="L98" s="61" t="s">
        <v>66</v>
      </c>
      <c r="M98" s="63">
        <v>44592</v>
      </c>
      <c r="N98" s="64">
        <f t="shared" si="22"/>
        <v>5</v>
      </c>
      <c r="O98" s="61">
        <v>1</v>
      </c>
      <c r="P98" s="110"/>
      <c r="Q98" s="61" t="s">
        <v>81</v>
      </c>
      <c r="R98" s="61" t="s">
        <v>81</v>
      </c>
      <c r="S98" s="61">
        <f t="shared" si="19"/>
        <v>4.9030899869919438</v>
      </c>
      <c r="T98" s="71">
        <v>80000</v>
      </c>
      <c r="U98" s="71">
        <f t="shared" si="20"/>
        <v>4.9030899869919438</v>
      </c>
      <c r="V98" s="61">
        <v>15</v>
      </c>
      <c r="W98" s="61">
        <v>0</v>
      </c>
      <c r="X98" s="61" t="s">
        <v>645</v>
      </c>
      <c r="Y98" s="61">
        <v>1</v>
      </c>
      <c r="Z98" s="61">
        <v>7.215634206428831</v>
      </c>
      <c r="AA98" s="61">
        <f t="shared" si="23"/>
        <v>0.85827450871402233</v>
      </c>
      <c r="AB98" s="203"/>
      <c r="AC98" s="203"/>
      <c r="AD98" s="61">
        <v>9.3966811232755951</v>
      </c>
      <c r="AE98" s="61">
        <f t="shared" si="24"/>
        <v>0.97297448930596486</v>
      </c>
      <c r="AF98" s="61">
        <v>6.6020599913279625</v>
      </c>
      <c r="AG98" s="61">
        <f t="shared" si="25"/>
        <v>0.81967946634150923</v>
      </c>
      <c r="AH98" s="61">
        <v>5.0413926851582254</v>
      </c>
      <c r="AI98" s="73">
        <f t="shared" si="26"/>
        <v>0.70255052690755415</v>
      </c>
      <c r="AJ98" s="61" t="s">
        <v>29</v>
      </c>
      <c r="AK98" s="61">
        <v>5</v>
      </c>
      <c r="AL98" s="61"/>
      <c r="AM98" s="204"/>
      <c r="AN98" s="61" t="s">
        <v>516</v>
      </c>
      <c r="AO98" s="61">
        <v>4</v>
      </c>
      <c r="AP98" s="61">
        <v>4</v>
      </c>
      <c r="AQ98" s="34">
        <f t="shared" si="21"/>
        <v>0</v>
      </c>
    </row>
    <row r="99" spans="1:43" ht="15" customHeight="1" thickTop="1" thickBot="1" x14ac:dyDescent="0.3">
      <c r="A99" s="78" t="s">
        <v>517</v>
      </c>
      <c r="B99" s="78" t="s">
        <v>260</v>
      </c>
      <c r="C99" s="78" t="s">
        <v>584</v>
      </c>
      <c r="D99" s="78" t="s">
        <v>584</v>
      </c>
      <c r="E99" s="182" t="s">
        <v>26</v>
      </c>
      <c r="F99" s="182" t="s">
        <v>26</v>
      </c>
      <c r="G99" s="80" t="s">
        <v>61</v>
      </c>
      <c r="H99" s="80">
        <v>21</v>
      </c>
      <c r="I99" s="80" t="s">
        <v>586</v>
      </c>
      <c r="J99" s="81">
        <v>44583</v>
      </c>
      <c r="K99" s="82">
        <v>44586</v>
      </c>
      <c r="L99" s="80" t="s">
        <v>646</v>
      </c>
      <c r="M99" s="82">
        <v>44592</v>
      </c>
      <c r="N99" s="84">
        <f t="shared" si="22"/>
        <v>6</v>
      </c>
      <c r="O99" s="80">
        <v>1</v>
      </c>
      <c r="P99" s="85" t="s">
        <v>647</v>
      </c>
      <c r="Q99" s="80" t="s">
        <v>588</v>
      </c>
      <c r="R99" s="80" t="s">
        <v>588</v>
      </c>
      <c r="S99" s="80">
        <f t="shared" si="19"/>
        <v>3.6989700043360187</v>
      </c>
      <c r="T99" s="80">
        <v>5000</v>
      </c>
      <c r="U99" s="80">
        <f t="shared" si="20"/>
        <v>3.6989700043360187</v>
      </c>
      <c r="V99" s="134">
        <v>3</v>
      </c>
      <c r="W99" s="130">
        <v>0</v>
      </c>
      <c r="X99" s="130">
        <v>0</v>
      </c>
      <c r="Y99" s="134">
        <v>1</v>
      </c>
      <c r="Z99" s="231">
        <v>211374.8</v>
      </c>
      <c r="AA99" s="231">
        <f t="shared" si="23"/>
        <v>5.3250532096823804</v>
      </c>
      <c r="AB99" s="231">
        <v>0</v>
      </c>
      <c r="AC99" s="231">
        <v>0</v>
      </c>
      <c r="AD99" s="231">
        <v>7120.6859999999997</v>
      </c>
      <c r="AE99" s="231">
        <f t="shared" si="24"/>
        <v>3.852521835162583</v>
      </c>
      <c r="AF99" s="28">
        <v>1</v>
      </c>
      <c r="AG99" s="231">
        <f t="shared" si="25"/>
        <v>0</v>
      </c>
      <c r="AH99" s="231">
        <v>0</v>
      </c>
      <c r="AI99" s="231">
        <v>0</v>
      </c>
      <c r="AJ99" s="134" t="s">
        <v>60</v>
      </c>
      <c r="AK99" s="134">
        <v>2</v>
      </c>
      <c r="AL99" s="134" t="s">
        <v>30</v>
      </c>
      <c r="AM99" s="232"/>
      <c r="AN99" s="134" t="s">
        <v>517</v>
      </c>
      <c r="AO99" s="134">
        <v>0</v>
      </c>
      <c r="AP99" s="134">
        <v>0</v>
      </c>
      <c r="AQ99" s="61">
        <f t="shared" si="21"/>
        <v>4</v>
      </c>
    </row>
    <row r="100" spans="1:43" ht="15" customHeight="1" thickTop="1" x14ac:dyDescent="0.25">
      <c r="A100" s="32" t="s">
        <v>518</v>
      </c>
      <c r="B100" s="32" t="s">
        <v>260</v>
      </c>
      <c r="C100" s="32" t="s">
        <v>584</v>
      </c>
      <c r="D100" s="32" t="s">
        <v>584</v>
      </c>
      <c r="E100" s="48" t="s">
        <v>26</v>
      </c>
      <c r="F100" s="33" t="s">
        <v>31</v>
      </c>
      <c r="G100" s="34" t="s">
        <v>61</v>
      </c>
      <c r="H100" s="34">
        <v>19</v>
      </c>
      <c r="I100" s="34" t="s">
        <v>586</v>
      </c>
      <c r="J100" s="35">
        <v>44583</v>
      </c>
      <c r="K100" s="36">
        <v>44589</v>
      </c>
      <c r="L100" s="34" t="s">
        <v>646</v>
      </c>
      <c r="M100" s="36">
        <v>44592</v>
      </c>
      <c r="N100" s="37">
        <f t="shared" si="22"/>
        <v>3</v>
      </c>
      <c r="O100" s="34">
        <v>1</v>
      </c>
      <c r="P100" s="97"/>
      <c r="Q100" s="34" t="s">
        <v>613</v>
      </c>
      <c r="R100" s="34" t="s">
        <v>588</v>
      </c>
      <c r="S100" s="34">
        <f t="shared" si="19"/>
        <v>3.6989700043360187</v>
      </c>
      <c r="T100" s="34">
        <v>5000</v>
      </c>
      <c r="U100" s="34">
        <f t="shared" si="20"/>
        <v>3.6989700043360187</v>
      </c>
      <c r="V100" s="40">
        <v>4</v>
      </c>
      <c r="W100" s="53">
        <v>0</v>
      </c>
      <c r="X100" s="53">
        <v>0</v>
      </c>
      <c r="Y100" s="40">
        <v>0</v>
      </c>
      <c r="Z100" s="43">
        <v>1691.65</v>
      </c>
      <c r="AA100" s="43">
        <f t="shared" si="23"/>
        <v>3.228310513081142</v>
      </c>
      <c r="AB100" s="43">
        <v>0</v>
      </c>
      <c r="AC100" s="43">
        <v>0</v>
      </c>
      <c r="AD100" s="43">
        <v>44100.05</v>
      </c>
      <c r="AE100" s="43">
        <f t="shared" si="24"/>
        <v>4.644439081864931</v>
      </c>
      <c r="AF100" s="45">
        <v>1</v>
      </c>
      <c r="AG100" s="43">
        <f t="shared" si="25"/>
        <v>0</v>
      </c>
      <c r="AH100" s="43">
        <v>0</v>
      </c>
      <c r="AI100" s="43">
        <v>0</v>
      </c>
      <c r="AJ100" s="40" t="s">
        <v>60</v>
      </c>
      <c r="AK100" s="40">
        <v>6</v>
      </c>
      <c r="AL100" s="40" t="s">
        <v>30</v>
      </c>
      <c r="AM100" s="47"/>
      <c r="AN100" s="40" t="s">
        <v>518</v>
      </c>
      <c r="AO100" s="40">
        <v>0</v>
      </c>
      <c r="AP100" s="40">
        <v>1</v>
      </c>
      <c r="AQ100" s="80">
        <f t="shared" si="21"/>
        <v>4</v>
      </c>
    </row>
    <row r="101" spans="1:43" ht="15" customHeight="1" x14ac:dyDescent="0.25">
      <c r="A101" s="32" t="s">
        <v>519</v>
      </c>
      <c r="B101" s="32" t="s">
        <v>260</v>
      </c>
      <c r="C101" s="32" t="s">
        <v>584</v>
      </c>
      <c r="D101" s="32" t="s">
        <v>584</v>
      </c>
      <c r="E101" s="48" t="s">
        <v>26</v>
      </c>
      <c r="F101" s="33" t="s">
        <v>31</v>
      </c>
      <c r="G101" s="34" t="s">
        <v>61</v>
      </c>
      <c r="H101" s="34">
        <v>14</v>
      </c>
      <c r="I101" s="34" t="s">
        <v>586</v>
      </c>
      <c r="J101" s="35">
        <v>44583</v>
      </c>
      <c r="K101" s="36">
        <v>44589</v>
      </c>
      <c r="L101" s="34" t="s">
        <v>646</v>
      </c>
      <c r="M101" s="36">
        <v>44592</v>
      </c>
      <c r="N101" s="37">
        <f t="shared" si="22"/>
        <v>3</v>
      </c>
      <c r="O101" s="34">
        <v>1</v>
      </c>
      <c r="P101" s="97"/>
      <c r="Q101" s="34" t="s">
        <v>613</v>
      </c>
      <c r="R101" s="34" t="s">
        <v>588</v>
      </c>
      <c r="S101" s="34">
        <f t="shared" si="19"/>
        <v>3.6989700043360187</v>
      </c>
      <c r="T101" s="34">
        <v>5000</v>
      </c>
      <c r="U101" s="34">
        <f t="shared" si="20"/>
        <v>3.6989700043360187</v>
      </c>
      <c r="V101" s="40">
        <v>21</v>
      </c>
      <c r="W101" s="53">
        <v>0</v>
      </c>
      <c r="X101" s="53">
        <v>0</v>
      </c>
      <c r="Y101" s="53">
        <v>1</v>
      </c>
      <c r="Z101" s="43">
        <v>217064</v>
      </c>
      <c r="AA101" s="43">
        <f t="shared" si="23"/>
        <v>5.3365878018156643</v>
      </c>
      <c r="AB101" s="44"/>
      <c r="AC101" s="44"/>
      <c r="AD101" s="43">
        <v>676381.9</v>
      </c>
      <c r="AE101" s="43">
        <f t="shared" si="24"/>
        <v>5.8301919773477939</v>
      </c>
      <c r="AF101" s="45">
        <v>1</v>
      </c>
      <c r="AG101" s="43">
        <f t="shared" si="25"/>
        <v>0</v>
      </c>
      <c r="AH101" s="46">
        <v>4.4487063199050798</v>
      </c>
      <c r="AI101" s="43">
        <f t="shared" si="26"/>
        <v>0.64823373686639585</v>
      </c>
      <c r="AJ101" s="40" t="s">
        <v>29</v>
      </c>
      <c r="AK101" s="40">
        <v>6</v>
      </c>
      <c r="AL101" s="40" t="s">
        <v>30</v>
      </c>
      <c r="AM101" s="47"/>
      <c r="AN101" s="40" t="s">
        <v>519</v>
      </c>
      <c r="AO101" s="40">
        <v>0</v>
      </c>
      <c r="AP101" s="40">
        <v>3</v>
      </c>
      <c r="AQ101" s="34">
        <f t="shared" si="21"/>
        <v>4</v>
      </c>
    </row>
    <row r="102" spans="1:43" ht="15" customHeight="1" x14ac:dyDescent="0.25">
      <c r="A102" s="32" t="s">
        <v>520</v>
      </c>
      <c r="B102" s="32" t="s">
        <v>260</v>
      </c>
      <c r="C102" s="32" t="s">
        <v>584</v>
      </c>
      <c r="D102" s="32" t="s">
        <v>584</v>
      </c>
      <c r="E102" s="48" t="s">
        <v>26</v>
      </c>
      <c r="F102" s="48" t="s">
        <v>26</v>
      </c>
      <c r="G102" s="34" t="s">
        <v>61</v>
      </c>
      <c r="H102" s="34">
        <v>20</v>
      </c>
      <c r="I102" s="34" t="s">
        <v>586</v>
      </c>
      <c r="J102" s="35">
        <v>44583</v>
      </c>
      <c r="K102" s="36">
        <v>44586</v>
      </c>
      <c r="L102" s="34" t="s">
        <v>646</v>
      </c>
      <c r="M102" s="36">
        <v>44592</v>
      </c>
      <c r="N102" s="37">
        <f t="shared" si="22"/>
        <v>6</v>
      </c>
      <c r="O102" s="34">
        <v>1</v>
      </c>
      <c r="P102" s="97"/>
      <c r="Q102" s="34" t="s">
        <v>588</v>
      </c>
      <c r="R102" s="34" t="s">
        <v>588</v>
      </c>
      <c r="S102" s="34">
        <f t="shared" si="19"/>
        <v>3.6989700043360187</v>
      </c>
      <c r="T102" s="34">
        <v>5000</v>
      </c>
      <c r="U102" s="34">
        <f t="shared" si="20"/>
        <v>3.6989700043360187</v>
      </c>
      <c r="V102" s="40">
        <v>1</v>
      </c>
      <c r="W102" s="53">
        <v>0</v>
      </c>
      <c r="X102" s="53">
        <v>0</v>
      </c>
      <c r="Y102" s="40">
        <v>0</v>
      </c>
      <c r="Z102" s="43">
        <v>1095666</v>
      </c>
      <c r="AA102" s="43">
        <f t="shared" si="23"/>
        <v>6.0396781851121206</v>
      </c>
      <c r="AB102" s="43">
        <v>4.0692802401107002</v>
      </c>
      <c r="AC102" s="43">
        <f t="shared" si="14"/>
        <v>0.60951759954676898</v>
      </c>
      <c r="AD102" s="43">
        <v>6938.2920000000004</v>
      </c>
      <c r="AE102" s="43">
        <f t="shared" si="24"/>
        <v>3.8412525732979375</v>
      </c>
      <c r="AF102" s="45">
        <v>1</v>
      </c>
      <c r="AG102" s="43">
        <f t="shared" si="25"/>
        <v>0</v>
      </c>
      <c r="AH102" s="46">
        <v>3.1986570869544226</v>
      </c>
      <c r="AI102" s="43">
        <f t="shared" si="26"/>
        <v>0.50496768390218438</v>
      </c>
      <c r="AJ102" s="40" t="s">
        <v>29</v>
      </c>
      <c r="AK102" s="40">
        <v>2</v>
      </c>
      <c r="AL102" s="40" t="s">
        <v>30</v>
      </c>
      <c r="AM102" s="47"/>
      <c r="AN102" s="40" t="s">
        <v>520</v>
      </c>
      <c r="AO102" s="40">
        <v>0</v>
      </c>
      <c r="AP102" s="40">
        <v>0</v>
      </c>
      <c r="AQ102" s="34">
        <f t="shared" si="21"/>
        <v>4</v>
      </c>
    </row>
    <row r="103" spans="1:43" ht="15" customHeight="1" x14ac:dyDescent="0.25">
      <c r="A103" s="32" t="s">
        <v>521</v>
      </c>
      <c r="B103" s="32" t="s">
        <v>260</v>
      </c>
      <c r="C103" s="32" t="s">
        <v>584</v>
      </c>
      <c r="D103" s="32" t="s">
        <v>584</v>
      </c>
      <c r="E103" s="48" t="s">
        <v>26</v>
      </c>
      <c r="F103" s="33" t="s">
        <v>31</v>
      </c>
      <c r="G103" s="34" t="s">
        <v>61</v>
      </c>
      <c r="H103" s="34">
        <v>21</v>
      </c>
      <c r="I103" s="34" t="s">
        <v>586</v>
      </c>
      <c r="J103" s="35">
        <v>44583</v>
      </c>
      <c r="K103" s="36">
        <v>44586</v>
      </c>
      <c r="L103" s="34" t="s">
        <v>646</v>
      </c>
      <c r="M103" s="36">
        <v>44592</v>
      </c>
      <c r="N103" s="37">
        <f t="shared" si="22"/>
        <v>6</v>
      </c>
      <c r="O103" s="34">
        <v>1</v>
      </c>
      <c r="P103" s="97"/>
      <c r="Q103" s="34" t="s">
        <v>81</v>
      </c>
      <c r="R103" s="34" t="s">
        <v>81</v>
      </c>
      <c r="S103" s="34">
        <f t="shared" si="19"/>
        <v>3.6989700043360187</v>
      </c>
      <c r="T103" s="34">
        <v>5000</v>
      </c>
      <c r="U103" s="34">
        <f t="shared" si="20"/>
        <v>3.6989700043360187</v>
      </c>
      <c r="V103" s="40">
        <v>8</v>
      </c>
      <c r="W103" s="53">
        <v>0</v>
      </c>
      <c r="X103" s="53">
        <v>0</v>
      </c>
      <c r="Y103" s="40">
        <v>0</v>
      </c>
      <c r="Z103" s="43">
        <v>3969097</v>
      </c>
      <c r="AA103" s="43">
        <f t="shared" si="23"/>
        <v>6.5986917126763691</v>
      </c>
      <c r="AB103" s="43">
        <v>7.2810952782207297</v>
      </c>
      <c r="AC103" s="43">
        <f t="shared" si="14"/>
        <v>0.86219671413562027</v>
      </c>
      <c r="AD103" s="43">
        <v>45131.67</v>
      </c>
      <c r="AE103" s="43">
        <f t="shared" si="24"/>
        <v>4.654481403947047</v>
      </c>
      <c r="AF103" s="45">
        <v>1</v>
      </c>
      <c r="AG103" s="43">
        <f t="shared" si="25"/>
        <v>0</v>
      </c>
      <c r="AH103" s="46">
        <v>4.1986570869544222</v>
      </c>
      <c r="AI103" s="43">
        <f t="shared" si="26"/>
        <v>0.62311040635386761</v>
      </c>
      <c r="AJ103" s="40" t="s">
        <v>60</v>
      </c>
      <c r="AK103" s="40">
        <v>2</v>
      </c>
      <c r="AL103" s="40" t="s">
        <v>30</v>
      </c>
      <c r="AM103" s="47"/>
      <c r="AN103" s="40" t="s">
        <v>521</v>
      </c>
      <c r="AO103" s="40">
        <v>0</v>
      </c>
      <c r="AP103" s="40">
        <v>2</v>
      </c>
      <c r="AQ103" s="34">
        <f t="shared" si="21"/>
        <v>4</v>
      </c>
    </row>
    <row r="104" spans="1:43" ht="15" customHeight="1" x14ac:dyDescent="0.25">
      <c r="A104" s="32" t="s">
        <v>522</v>
      </c>
      <c r="B104" s="32" t="s">
        <v>260</v>
      </c>
      <c r="C104" s="32" t="s">
        <v>584</v>
      </c>
      <c r="D104" s="32" t="s">
        <v>584</v>
      </c>
      <c r="E104" s="48" t="s">
        <v>26</v>
      </c>
      <c r="F104" s="33" t="s">
        <v>31</v>
      </c>
      <c r="G104" s="34" t="s">
        <v>61</v>
      </c>
      <c r="H104" s="34">
        <v>21</v>
      </c>
      <c r="I104" s="34" t="s">
        <v>586</v>
      </c>
      <c r="J104" s="35">
        <v>44583</v>
      </c>
      <c r="K104" s="36">
        <v>44589</v>
      </c>
      <c r="L104" s="34" t="s">
        <v>646</v>
      </c>
      <c r="M104" s="36">
        <v>44592</v>
      </c>
      <c r="N104" s="37">
        <f t="shared" si="22"/>
        <v>3</v>
      </c>
      <c r="O104" s="34">
        <v>1</v>
      </c>
      <c r="P104" s="97"/>
      <c r="Q104" s="34" t="s">
        <v>81</v>
      </c>
      <c r="R104" s="34" t="s">
        <v>81</v>
      </c>
      <c r="S104" s="34">
        <f t="shared" si="19"/>
        <v>3.6989700043360187</v>
      </c>
      <c r="T104" s="34">
        <v>5000</v>
      </c>
      <c r="U104" s="34">
        <f t="shared" si="20"/>
        <v>3.6989700043360187</v>
      </c>
      <c r="V104" s="40">
        <v>13</v>
      </c>
      <c r="W104" s="53">
        <v>0</v>
      </c>
      <c r="X104" s="53">
        <v>0</v>
      </c>
      <c r="Y104" s="40">
        <v>0</v>
      </c>
      <c r="Z104" s="43">
        <v>30976.54</v>
      </c>
      <c r="AA104" s="43">
        <f t="shared" si="23"/>
        <v>4.4910329065534054</v>
      </c>
      <c r="AB104" s="43">
        <v>7.2810952782207297</v>
      </c>
      <c r="AC104" s="43">
        <f t="shared" si="14"/>
        <v>0.86219671413562027</v>
      </c>
      <c r="AD104" s="43">
        <v>120688.5</v>
      </c>
      <c r="AE104" s="43">
        <f t="shared" si="24"/>
        <v>5.0816658896128137</v>
      </c>
      <c r="AF104" s="45">
        <v>1</v>
      </c>
      <c r="AG104" s="43">
        <f t="shared" si="25"/>
        <v>0</v>
      </c>
      <c r="AH104" s="43">
        <v>0</v>
      </c>
      <c r="AI104" s="43">
        <v>0</v>
      </c>
      <c r="AJ104" s="40" t="s">
        <v>60</v>
      </c>
      <c r="AK104" s="40">
        <v>6</v>
      </c>
      <c r="AL104" s="40" t="s">
        <v>30</v>
      </c>
      <c r="AM104" s="47"/>
      <c r="AN104" s="40" t="s">
        <v>522</v>
      </c>
      <c r="AO104" s="40">
        <v>0</v>
      </c>
      <c r="AP104" s="40">
        <v>1</v>
      </c>
      <c r="AQ104" s="34">
        <f t="shared" si="21"/>
        <v>4</v>
      </c>
    </row>
    <row r="105" spans="1:43" ht="15" customHeight="1" x14ac:dyDescent="0.25">
      <c r="A105" s="32" t="s">
        <v>523</v>
      </c>
      <c r="B105" s="32" t="s">
        <v>260</v>
      </c>
      <c r="C105" s="32" t="s">
        <v>584</v>
      </c>
      <c r="D105" s="32" t="s">
        <v>584</v>
      </c>
      <c r="E105" s="48" t="s">
        <v>26</v>
      </c>
      <c r="F105" s="33" t="s">
        <v>31</v>
      </c>
      <c r="G105" s="34" t="s">
        <v>61</v>
      </c>
      <c r="H105" s="34">
        <v>21</v>
      </c>
      <c r="I105" s="34" t="s">
        <v>586</v>
      </c>
      <c r="J105" s="35">
        <v>44583</v>
      </c>
      <c r="K105" s="36">
        <v>44586</v>
      </c>
      <c r="L105" s="34" t="s">
        <v>646</v>
      </c>
      <c r="M105" s="36">
        <v>44592</v>
      </c>
      <c r="N105" s="37">
        <f t="shared" si="22"/>
        <v>6</v>
      </c>
      <c r="O105" s="34">
        <v>1</v>
      </c>
      <c r="P105" s="97"/>
      <c r="Q105" s="34" t="s">
        <v>81</v>
      </c>
      <c r="R105" s="34" t="s">
        <v>81</v>
      </c>
      <c r="S105" s="34">
        <f t="shared" si="19"/>
        <v>3.6989700043360187</v>
      </c>
      <c r="T105" s="34">
        <v>5000</v>
      </c>
      <c r="U105" s="34">
        <f t="shared" si="20"/>
        <v>3.6989700043360187</v>
      </c>
      <c r="V105" s="40">
        <v>16</v>
      </c>
      <c r="W105" s="53">
        <v>0</v>
      </c>
      <c r="X105" s="53">
        <v>0</v>
      </c>
      <c r="Y105" s="40">
        <v>0</v>
      </c>
      <c r="Z105" s="43">
        <v>5827100</v>
      </c>
      <c r="AA105" s="43">
        <f t="shared" si="23"/>
        <v>6.765452471166439</v>
      </c>
      <c r="AB105" s="43">
        <v>8.6344772701607297</v>
      </c>
      <c r="AC105" s="43">
        <f t="shared" si="14"/>
        <v>0.93623605058252568</v>
      </c>
      <c r="AD105" s="43">
        <v>22049.85</v>
      </c>
      <c r="AE105" s="43">
        <f t="shared" si="24"/>
        <v>4.3434056394095775</v>
      </c>
      <c r="AF105" s="45">
        <v>1</v>
      </c>
      <c r="AG105" s="43">
        <f t="shared" si="25"/>
        <v>0</v>
      </c>
      <c r="AH105" s="46">
        <v>6.9489017609702133</v>
      </c>
      <c r="AI105" s="43">
        <f t="shared" si="26"/>
        <v>0.84191617195141444</v>
      </c>
      <c r="AJ105" s="40" t="s">
        <v>29</v>
      </c>
      <c r="AK105" s="40">
        <v>2</v>
      </c>
      <c r="AL105" s="40" t="s">
        <v>30</v>
      </c>
      <c r="AM105" s="47"/>
      <c r="AN105" s="40" t="s">
        <v>523</v>
      </c>
      <c r="AO105" s="40">
        <v>0</v>
      </c>
      <c r="AP105" s="40">
        <v>3</v>
      </c>
      <c r="AQ105" s="34">
        <f t="shared" si="21"/>
        <v>4</v>
      </c>
    </row>
    <row r="106" spans="1:43" ht="15" customHeight="1" x14ac:dyDescent="0.25">
      <c r="A106" s="32" t="s">
        <v>524</v>
      </c>
      <c r="B106" s="32" t="s">
        <v>260</v>
      </c>
      <c r="C106" s="32" t="s">
        <v>589</v>
      </c>
      <c r="D106" s="32" t="s">
        <v>584</v>
      </c>
      <c r="E106" s="33" t="s">
        <v>31</v>
      </c>
      <c r="F106" s="33" t="s">
        <v>31</v>
      </c>
      <c r="G106" s="34" t="s">
        <v>61</v>
      </c>
      <c r="H106" s="34">
        <v>18</v>
      </c>
      <c r="I106" s="34" t="s">
        <v>586</v>
      </c>
      <c r="J106" s="35">
        <v>44583</v>
      </c>
      <c r="K106" s="36">
        <v>44589</v>
      </c>
      <c r="L106" s="34" t="s">
        <v>646</v>
      </c>
      <c r="M106" s="36">
        <v>44592</v>
      </c>
      <c r="N106" s="37">
        <f t="shared" si="22"/>
        <v>3</v>
      </c>
      <c r="O106" s="34">
        <v>1</v>
      </c>
      <c r="P106" s="97"/>
      <c r="Q106" s="34" t="s">
        <v>81</v>
      </c>
      <c r="R106" s="34" t="s">
        <v>81</v>
      </c>
      <c r="S106" s="34">
        <f t="shared" si="19"/>
        <v>3.6989700043360187</v>
      </c>
      <c r="T106" s="34">
        <v>5000</v>
      </c>
      <c r="U106" s="34">
        <f t="shared" si="20"/>
        <v>3.6989700043360187</v>
      </c>
      <c r="V106" s="40">
        <v>26</v>
      </c>
      <c r="W106" s="96">
        <v>1</v>
      </c>
      <c r="X106" s="233" t="s">
        <v>648</v>
      </c>
      <c r="Y106" s="40">
        <v>2</v>
      </c>
      <c r="Z106" s="43">
        <v>145537.29999999999</v>
      </c>
      <c r="AA106" s="43">
        <f t="shared" si="23"/>
        <v>5.1629743136527821</v>
      </c>
      <c r="AB106" s="43">
        <v>8.6344772701607297</v>
      </c>
      <c r="AC106" s="43">
        <f t="shared" si="14"/>
        <v>0.93623605058252568</v>
      </c>
      <c r="AD106" s="43">
        <v>720000000</v>
      </c>
      <c r="AE106" s="43">
        <f t="shared" si="24"/>
        <v>8.857332496431269</v>
      </c>
      <c r="AF106" s="45">
        <v>889000</v>
      </c>
      <c r="AG106" s="43">
        <f t="shared" si="25"/>
        <v>5.9489017609702133</v>
      </c>
      <c r="AH106" s="46">
        <v>4.1986570869544222</v>
      </c>
      <c r="AI106" s="43">
        <f t="shared" si="26"/>
        <v>0.62311040635386761</v>
      </c>
      <c r="AJ106" s="40" t="s">
        <v>29</v>
      </c>
      <c r="AK106" s="40">
        <v>6</v>
      </c>
      <c r="AL106" s="40" t="s">
        <v>30</v>
      </c>
      <c r="AM106" s="47"/>
      <c r="AN106" s="40" t="s">
        <v>524</v>
      </c>
      <c r="AO106" s="40">
        <v>5</v>
      </c>
      <c r="AP106" s="40">
        <v>3</v>
      </c>
      <c r="AQ106" s="34">
        <f t="shared" si="21"/>
        <v>3</v>
      </c>
    </row>
    <row r="107" spans="1:43" ht="15" customHeight="1" x14ac:dyDescent="0.25">
      <c r="A107" s="32" t="s">
        <v>525</v>
      </c>
      <c r="B107" s="32" t="s">
        <v>260</v>
      </c>
      <c r="C107" s="32" t="s">
        <v>584</v>
      </c>
      <c r="D107" s="32" t="s">
        <v>584</v>
      </c>
      <c r="E107" s="48" t="s">
        <v>26</v>
      </c>
      <c r="F107" s="33" t="s">
        <v>31</v>
      </c>
      <c r="G107" s="34" t="s">
        <v>61</v>
      </c>
      <c r="H107" s="34">
        <v>18</v>
      </c>
      <c r="I107" s="34" t="s">
        <v>586</v>
      </c>
      <c r="J107" s="35">
        <v>44583</v>
      </c>
      <c r="K107" s="36">
        <v>44589</v>
      </c>
      <c r="L107" s="34" t="s">
        <v>646</v>
      </c>
      <c r="M107" s="36">
        <v>44592</v>
      </c>
      <c r="N107" s="37">
        <f t="shared" si="22"/>
        <v>3</v>
      </c>
      <c r="O107" s="34">
        <v>1</v>
      </c>
      <c r="P107" s="97"/>
      <c r="Q107" s="34" t="s">
        <v>269</v>
      </c>
      <c r="R107" s="34" t="s">
        <v>269</v>
      </c>
      <c r="S107" s="34">
        <f t="shared" si="19"/>
        <v>3.6989700043360187</v>
      </c>
      <c r="T107" s="34">
        <v>5000</v>
      </c>
      <c r="U107" s="34">
        <f t="shared" si="20"/>
        <v>3.6989700043360187</v>
      </c>
      <c r="V107" s="40">
        <v>7</v>
      </c>
      <c r="W107" s="53">
        <v>0</v>
      </c>
      <c r="X107" s="53">
        <v>0</v>
      </c>
      <c r="Y107" s="40">
        <v>1</v>
      </c>
      <c r="Z107" s="43">
        <v>6272.6260000000002</v>
      </c>
      <c r="AA107" s="43">
        <f t="shared" si="23"/>
        <v>3.7974493938694884</v>
      </c>
      <c r="AB107" s="43">
        <v>7.4480268674002001</v>
      </c>
      <c r="AC107" s="43">
        <f t="shared" si="14"/>
        <v>0.8720412346143448</v>
      </c>
      <c r="AD107" s="43">
        <v>224607.6</v>
      </c>
      <c r="AE107" s="43">
        <f t="shared" si="24"/>
        <v>5.3514244473048702</v>
      </c>
      <c r="AF107" s="45">
        <v>1</v>
      </c>
      <c r="AG107" s="43">
        <f t="shared" si="25"/>
        <v>0</v>
      </c>
      <c r="AH107" s="46">
        <v>1.4487063199050798</v>
      </c>
      <c r="AI107" s="43">
        <f t="shared" si="26"/>
        <v>0.16098035471096314</v>
      </c>
      <c r="AJ107" s="40" t="s">
        <v>60</v>
      </c>
      <c r="AK107" s="40">
        <v>6</v>
      </c>
      <c r="AL107" s="40" t="s">
        <v>30</v>
      </c>
      <c r="AM107" s="47"/>
      <c r="AN107" s="40" t="s">
        <v>525</v>
      </c>
      <c r="AO107" s="40">
        <v>0</v>
      </c>
      <c r="AP107" s="40">
        <v>1</v>
      </c>
      <c r="AQ107" s="34">
        <f t="shared" si="21"/>
        <v>0</v>
      </c>
    </row>
    <row r="108" spans="1:43" ht="15" customHeight="1" x14ac:dyDescent="0.25">
      <c r="A108" s="32" t="s">
        <v>526</v>
      </c>
      <c r="B108" s="32" t="s">
        <v>260</v>
      </c>
      <c r="C108" s="32" t="s">
        <v>584</v>
      </c>
      <c r="D108" s="32" t="s">
        <v>584</v>
      </c>
      <c r="E108" s="48" t="s">
        <v>26</v>
      </c>
      <c r="F108" s="33" t="s">
        <v>31</v>
      </c>
      <c r="G108" s="34" t="s">
        <v>61</v>
      </c>
      <c r="H108" s="34">
        <v>22</v>
      </c>
      <c r="I108" s="34" t="s">
        <v>586</v>
      </c>
      <c r="J108" s="35">
        <v>44583</v>
      </c>
      <c r="K108" s="36">
        <v>44586</v>
      </c>
      <c r="L108" s="34" t="s">
        <v>646</v>
      </c>
      <c r="M108" s="36">
        <v>44592</v>
      </c>
      <c r="N108" s="37">
        <f t="shared" si="22"/>
        <v>6</v>
      </c>
      <c r="O108" s="34">
        <v>1</v>
      </c>
      <c r="P108" s="97"/>
      <c r="Q108" s="34" t="s">
        <v>269</v>
      </c>
      <c r="R108" s="34" t="s">
        <v>269</v>
      </c>
      <c r="S108" s="34">
        <f t="shared" si="19"/>
        <v>3.6989700043360187</v>
      </c>
      <c r="T108" s="34">
        <v>5000</v>
      </c>
      <c r="U108" s="34">
        <f t="shared" si="20"/>
        <v>3.6989700043360187</v>
      </c>
      <c r="V108" s="40">
        <v>7</v>
      </c>
      <c r="W108" s="53">
        <v>0</v>
      </c>
      <c r="X108" s="53">
        <v>0</v>
      </c>
      <c r="Y108" s="40">
        <v>0</v>
      </c>
      <c r="Z108" s="43">
        <v>4899.0029999999997</v>
      </c>
      <c r="AA108" s="43">
        <f t="shared" si="23"/>
        <v>3.6901077054051052</v>
      </c>
      <c r="AB108" s="43">
        <v>7.4480268674002001</v>
      </c>
      <c r="AC108" s="43">
        <f t="shared" si="14"/>
        <v>0.8720412346143448</v>
      </c>
      <c r="AD108" s="43">
        <v>1</v>
      </c>
      <c r="AE108" s="43">
        <f t="shared" si="24"/>
        <v>0</v>
      </c>
      <c r="AF108" s="45">
        <v>1</v>
      </c>
      <c r="AG108" s="43">
        <f t="shared" si="25"/>
        <v>0</v>
      </c>
      <c r="AH108" s="46">
        <v>2.6989700043360187</v>
      </c>
      <c r="AI108" s="43">
        <f t="shared" si="26"/>
        <v>0.4311980579452766</v>
      </c>
      <c r="AJ108" s="40" t="s">
        <v>60</v>
      </c>
      <c r="AK108" s="40">
        <v>2</v>
      </c>
      <c r="AL108" s="40" t="s">
        <v>30</v>
      </c>
      <c r="AM108" s="47"/>
      <c r="AN108" s="40" t="s">
        <v>526</v>
      </c>
      <c r="AO108" s="40">
        <v>0</v>
      </c>
      <c r="AP108" s="40">
        <v>1</v>
      </c>
      <c r="AQ108" s="34">
        <f t="shared" si="21"/>
        <v>1</v>
      </c>
    </row>
    <row r="109" spans="1:43" ht="15" customHeight="1" x14ac:dyDescent="0.25">
      <c r="A109" s="32" t="s">
        <v>527</v>
      </c>
      <c r="B109" s="32" t="s">
        <v>260</v>
      </c>
      <c r="C109" s="32" t="s">
        <v>584</v>
      </c>
      <c r="D109" s="32" t="s">
        <v>584</v>
      </c>
      <c r="E109" s="48" t="s">
        <v>26</v>
      </c>
      <c r="F109" s="33" t="s">
        <v>31</v>
      </c>
      <c r="G109" s="34" t="s">
        <v>61</v>
      </c>
      <c r="H109" s="34">
        <v>17</v>
      </c>
      <c r="I109" s="34" t="s">
        <v>586</v>
      </c>
      <c r="J109" s="35">
        <v>44583</v>
      </c>
      <c r="K109" s="36">
        <v>44586</v>
      </c>
      <c r="L109" s="34" t="s">
        <v>646</v>
      </c>
      <c r="M109" s="36">
        <v>44592</v>
      </c>
      <c r="N109" s="37">
        <f t="shared" si="22"/>
        <v>6</v>
      </c>
      <c r="O109" s="34">
        <v>1</v>
      </c>
      <c r="P109" s="97"/>
      <c r="Q109" s="34" t="s">
        <v>269</v>
      </c>
      <c r="R109" s="34" t="s">
        <v>269</v>
      </c>
      <c r="S109" s="34">
        <f t="shared" si="19"/>
        <v>3.6989700043360187</v>
      </c>
      <c r="T109" s="34">
        <v>5000</v>
      </c>
      <c r="U109" s="34">
        <f t="shared" si="20"/>
        <v>3.6989700043360187</v>
      </c>
      <c r="V109" s="40">
        <v>1</v>
      </c>
      <c r="W109" s="53">
        <v>0</v>
      </c>
      <c r="X109" s="53">
        <v>0</v>
      </c>
      <c r="Y109" s="40">
        <v>1</v>
      </c>
      <c r="Z109" s="43">
        <v>1060.94</v>
      </c>
      <c r="AA109" s="43">
        <f t="shared" si="23"/>
        <v>3.0256908236697404</v>
      </c>
      <c r="AB109" s="43">
        <v>8.4785664955938405</v>
      </c>
      <c r="AC109" s="43">
        <f t="shared" si="14"/>
        <v>0.92832243059633657</v>
      </c>
      <c r="AD109" s="43">
        <v>1</v>
      </c>
      <c r="AE109" s="43">
        <f t="shared" si="24"/>
        <v>0</v>
      </c>
      <c r="AF109" s="45">
        <v>1</v>
      </c>
      <c r="AG109" s="43">
        <f t="shared" si="25"/>
        <v>0</v>
      </c>
      <c r="AH109" s="46">
        <v>2.1986570869544226</v>
      </c>
      <c r="AI109" s="43">
        <f t="shared" si="26"/>
        <v>0.34215750000362405</v>
      </c>
      <c r="AJ109" s="40" t="s">
        <v>29</v>
      </c>
      <c r="AK109" s="40">
        <v>2</v>
      </c>
      <c r="AL109" s="40" t="s">
        <v>30</v>
      </c>
      <c r="AM109" s="47"/>
      <c r="AN109" s="40" t="s">
        <v>527</v>
      </c>
      <c r="AO109" s="40">
        <v>0</v>
      </c>
      <c r="AP109" s="40">
        <v>2</v>
      </c>
      <c r="AQ109" s="34">
        <f t="shared" si="21"/>
        <v>1</v>
      </c>
    </row>
    <row r="110" spans="1:43" ht="15" customHeight="1" thickBot="1" x14ac:dyDescent="0.3">
      <c r="A110" s="103" t="s">
        <v>528</v>
      </c>
      <c r="B110" s="103" t="s">
        <v>260</v>
      </c>
      <c r="C110" s="103" t="s">
        <v>584</v>
      </c>
      <c r="D110" s="103" t="s">
        <v>584</v>
      </c>
      <c r="E110" s="141" t="s">
        <v>26</v>
      </c>
      <c r="F110" s="104" t="s">
        <v>31</v>
      </c>
      <c r="G110" s="105" t="s">
        <v>61</v>
      </c>
      <c r="H110" s="105">
        <v>16</v>
      </c>
      <c r="I110" s="105" t="s">
        <v>586</v>
      </c>
      <c r="J110" s="106">
        <v>44583</v>
      </c>
      <c r="K110" s="107">
        <v>44589</v>
      </c>
      <c r="L110" s="105" t="s">
        <v>646</v>
      </c>
      <c r="M110" s="107">
        <v>44592</v>
      </c>
      <c r="N110" s="109">
        <f t="shared" si="22"/>
        <v>3</v>
      </c>
      <c r="O110" s="105">
        <v>1</v>
      </c>
      <c r="P110" s="234"/>
      <c r="Q110" s="105" t="s">
        <v>269</v>
      </c>
      <c r="R110" s="105" t="s">
        <v>269</v>
      </c>
      <c r="S110" s="105">
        <f t="shared" si="19"/>
        <v>3.6989700043360187</v>
      </c>
      <c r="T110" s="105">
        <v>5000</v>
      </c>
      <c r="U110" s="105">
        <f t="shared" si="20"/>
        <v>3.6989700043360187</v>
      </c>
      <c r="V110" s="145">
        <v>16</v>
      </c>
      <c r="W110" s="142">
        <v>0</v>
      </c>
      <c r="X110" s="142">
        <v>0</v>
      </c>
      <c r="Y110" s="145">
        <v>0</v>
      </c>
      <c r="Z110" s="75">
        <v>3715.5329999999999</v>
      </c>
      <c r="AA110" s="75">
        <f t="shared" si="23"/>
        <v>3.5700211229027907</v>
      </c>
      <c r="AB110" s="75">
        <v>7.5217939745778004</v>
      </c>
      <c r="AC110" s="75">
        <f t="shared" ref="AC110:AC132" si="27">LOG10(AB110)</f>
        <v>0.87632143372219895</v>
      </c>
      <c r="AD110" s="75">
        <v>781950.9</v>
      </c>
      <c r="AE110" s="75">
        <f t="shared" si="24"/>
        <v>5.8931794838417817</v>
      </c>
      <c r="AF110" s="235">
        <v>1580</v>
      </c>
      <c r="AG110" s="75">
        <f t="shared" si="25"/>
        <v>3.1986570869544226</v>
      </c>
      <c r="AH110" s="236">
        <v>1.19865708695442</v>
      </c>
      <c r="AI110" s="73">
        <f t="shared" si="26"/>
        <v>7.8694957457664416E-2</v>
      </c>
      <c r="AJ110" s="145" t="s">
        <v>29</v>
      </c>
      <c r="AK110" s="145">
        <v>6</v>
      </c>
      <c r="AL110" s="145" t="s">
        <v>30</v>
      </c>
      <c r="AM110" s="237"/>
      <c r="AN110" s="145" t="s">
        <v>528</v>
      </c>
      <c r="AO110" s="145">
        <v>0</v>
      </c>
      <c r="AP110" s="145">
        <v>2</v>
      </c>
      <c r="AQ110" s="34">
        <f t="shared" si="21"/>
        <v>0</v>
      </c>
    </row>
    <row r="111" spans="1:43" ht="15" customHeight="1" thickTop="1" x14ac:dyDescent="0.25">
      <c r="A111" s="15" t="s">
        <v>529</v>
      </c>
      <c r="B111" s="15" t="s">
        <v>306</v>
      </c>
      <c r="C111" s="15" t="s">
        <v>589</v>
      </c>
      <c r="D111" s="15" t="s">
        <v>589</v>
      </c>
      <c r="E111" s="16" t="s">
        <v>26</v>
      </c>
      <c r="F111" s="17" t="s">
        <v>31</v>
      </c>
      <c r="G111" s="119" t="s">
        <v>600</v>
      </c>
      <c r="H111" s="119">
        <v>7</v>
      </c>
      <c r="I111" s="119" t="s">
        <v>591</v>
      </c>
      <c r="J111" s="238">
        <v>44603</v>
      </c>
      <c r="K111" s="146">
        <v>44608</v>
      </c>
      <c r="L111" s="119" t="s">
        <v>66</v>
      </c>
      <c r="M111" s="146">
        <v>44617</v>
      </c>
      <c r="N111" s="21">
        <f t="shared" si="22"/>
        <v>9</v>
      </c>
      <c r="O111" s="119">
        <v>1</v>
      </c>
      <c r="P111" s="124" t="s">
        <v>649</v>
      </c>
      <c r="Q111" s="119" t="s">
        <v>588</v>
      </c>
      <c r="R111" s="119" t="s">
        <v>588</v>
      </c>
      <c r="S111" s="119">
        <f t="shared" si="19"/>
        <v>4</v>
      </c>
      <c r="T111" s="119">
        <v>10000</v>
      </c>
      <c r="U111" s="119">
        <f t="shared" si="20"/>
        <v>4</v>
      </c>
      <c r="V111" s="119">
        <v>3</v>
      </c>
      <c r="W111" s="148">
        <v>0</v>
      </c>
      <c r="X111" s="148" t="s">
        <v>650</v>
      </c>
      <c r="Y111" s="18">
        <v>0</v>
      </c>
      <c r="Z111" s="18">
        <v>5.7143238933434244</v>
      </c>
      <c r="AA111" s="18">
        <f t="shared" si="23"/>
        <v>0.75696485297097749</v>
      </c>
      <c r="AB111" s="201"/>
      <c r="AC111" s="201"/>
      <c r="AD111" s="18">
        <v>5.3891204491845981</v>
      </c>
      <c r="AE111" s="18">
        <f t="shared" si="24"/>
        <v>0.73151789037495218</v>
      </c>
      <c r="AF111" s="18">
        <v>0</v>
      </c>
      <c r="AG111" s="18">
        <v>0</v>
      </c>
      <c r="AH111" s="18">
        <v>4.0969100130080562</v>
      </c>
      <c r="AI111" s="231">
        <f t="shared" si="26"/>
        <v>0.61245642495308406</v>
      </c>
      <c r="AJ111" s="18" t="s">
        <v>29</v>
      </c>
      <c r="AK111" s="18">
        <v>5</v>
      </c>
      <c r="AL111" s="18"/>
      <c r="AM111" s="202"/>
      <c r="AN111" s="80" t="s">
        <v>529</v>
      </c>
      <c r="AO111" s="80">
        <v>0</v>
      </c>
      <c r="AP111" s="80">
        <v>2</v>
      </c>
      <c r="AQ111" s="34">
        <f t="shared" si="21"/>
        <v>1</v>
      </c>
    </row>
    <row r="112" spans="1:43" ht="15" customHeight="1" thickBot="1" x14ac:dyDescent="0.3">
      <c r="A112" s="32" t="s">
        <v>530</v>
      </c>
      <c r="B112" s="32" t="s">
        <v>306</v>
      </c>
      <c r="C112" s="32" t="s">
        <v>589</v>
      </c>
      <c r="D112" s="32" t="s">
        <v>589</v>
      </c>
      <c r="E112" s="48" t="s">
        <v>26</v>
      </c>
      <c r="F112" s="48" t="s">
        <v>26</v>
      </c>
      <c r="G112" s="49" t="s">
        <v>600</v>
      </c>
      <c r="H112" s="49">
        <v>15</v>
      </c>
      <c r="I112" s="49" t="s">
        <v>591</v>
      </c>
      <c r="J112" s="208">
        <v>44603</v>
      </c>
      <c r="K112" s="239">
        <v>44608</v>
      </c>
      <c r="L112" s="49" t="s">
        <v>66</v>
      </c>
      <c r="M112" s="239">
        <v>44617</v>
      </c>
      <c r="N112" s="37">
        <f t="shared" si="22"/>
        <v>9</v>
      </c>
      <c r="O112" s="49">
        <v>1</v>
      </c>
      <c r="P112" s="240"/>
      <c r="Q112" s="49" t="s">
        <v>588</v>
      </c>
      <c r="R112" s="49" t="s">
        <v>588</v>
      </c>
      <c r="S112" s="49">
        <f t="shared" si="19"/>
        <v>5</v>
      </c>
      <c r="T112" s="49">
        <v>100000</v>
      </c>
      <c r="U112" s="49">
        <f t="shared" si="20"/>
        <v>5</v>
      </c>
      <c r="V112" s="49">
        <v>0</v>
      </c>
      <c r="W112" s="41">
        <v>0</v>
      </c>
      <c r="X112" s="41" t="s">
        <v>651</v>
      </c>
      <c r="Y112" s="34">
        <v>0</v>
      </c>
      <c r="Z112" s="34">
        <v>0</v>
      </c>
      <c r="AA112" s="34"/>
      <c r="AB112" s="125"/>
      <c r="AC112" s="125"/>
      <c r="AD112" s="34">
        <v>4.0015434799107625</v>
      </c>
      <c r="AE112" s="34">
        <f t="shared" si="24"/>
        <v>0.60222754020604319</v>
      </c>
      <c r="AF112" s="34">
        <v>0</v>
      </c>
      <c r="AG112" s="34">
        <v>0</v>
      </c>
      <c r="AH112" s="34">
        <v>0</v>
      </c>
      <c r="AI112" s="34">
        <v>0</v>
      </c>
      <c r="AJ112" s="34" t="s">
        <v>29</v>
      </c>
      <c r="AK112" s="34">
        <v>5</v>
      </c>
      <c r="AL112" s="34"/>
      <c r="AM112" s="52"/>
      <c r="AN112" s="34" t="s">
        <v>530</v>
      </c>
      <c r="AO112" s="34">
        <v>0</v>
      </c>
      <c r="AP112" s="34">
        <v>0</v>
      </c>
      <c r="AQ112" s="34">
        <f t="shared" si="21"/>
        <v>0</v>
      </c>
    </row>
    <row r="113" spans="1:43" ht="15" customHeight="1" thickTop="1" thickBot="1" x14ac:dyDescent="0.3">
      <c r="A113" s="103" t="s">
        <v>531</v>
      </c>
      <c r="B113" s="103" t="s">
        <v>306</v>
      </c>
      <c r="C113" s="103" t="s">
        <v>589</v>
      </c>
      <c r="D113" s="103" t="s">
        <v>589</v>
      </c>
      <c r="E113" s="104" t="s">
        <v>31</v>
      </c>
      <c r="F113" s="104" t="s">
        <v>31</v>
      </c>
      <c r="G113" s="114" t="s">
        <v>600</v>
      </c>
      <c r="H113" s="114">
        <v>21</v>
      </c>
      <c r="I113" s="114" t="s">
        <v>591</v>
      </c>
      <c r="J113" s="165">
        <v>44603</v>
      </c>
      <c r="K113" s="166">
        <v>44608</v>
      </c>
      <c r="L113" s="114" t="s">
        <v>66</v>
      </c>
      <c r="M113" s="166">
        <v>44617</v>
      </c>
      <c r="N113" s="109">
        <f t="shared" si="22"/>
        <v>9</v>
      </c>
      <c r="O113" s="114">
        <v>1</v>
      </c>
      <c r="P113" s="147"/>
      <c r="Q113" s="114" t="s">
        <v>588</v>
      </c>
      <c r="R113" s="114" t="s">
        <v>588</v>
      </c>
      <c r="S113" s="114">
        <f t="shared" si="19"/>
        <v>4</v>
      </c>
      <c r="T113" s="114">
        <v>10000</v>
      </c>
      <c r="U113" s="114">
        <f t="shared" si="20"/>
        <v>4</v>
      </c>
      <c r="V113" s="114">
        <v>32</v>
      </c>
      <c r="W113" s="184">
        <v>1</v>
      </c>
      <c r="X113" s="184" t="s">
        <v>652</v>
      </c>
      <c r="Y113" s="105">
        <v>0</v>
      </c>
      <c r="Z113" s="105">
        <v>7.0913828588067727</v>
      </c>
      <c r="AA113" s="105">
        <f t="shared" si="23"/>
        <v>0.85073093326320659</v>
      </c>
      <c r="AB113" s="170"/>
      <c r="AC113" s="170"/>
      <c r="AD113" s="105">
        <v>9.6109065710613137</v>
      </c>
      <c r="AE113" s="105">
        <f t="shared" si="24"/>
        <v>0.98276435543541085</v>
      </c>
      <c r="AF113" s="61">
        <v>3.5854607295085006</v>
      </c>
      <c r="AG113" s="105">
        <f t="shared" si="25"/>
        <v>0.55454497016470405</v>
      </c>
      <c r="AH113" s="105">
        <v>5.0791812460476251</v>
      </c>
      <c r="AI113" s="105">
        <f>LOG10(AH113)</f>
        <v>0.70579371051592021</v>
      </c>
      <c r="AJ113" s="105" t="s">
        <v>29</v>
      </c>
      <c r="AK113" s="105">
        <v>5</v>
      </c>
      <c r="AL113" s="105"/>
      <c r="AM113" s="117"/>
      <c r="AN113" s="105" t="s">
        <v>531</v>
      </c>
      <c r="AO113" s="105">
        <v>3</v>
      </c>
      <c r="AP113" s="105">
        <v>3</v>
      </c>
      <c r="AQ113" s="196">
        <f>SUM(AN134,AP134)</f>
        <v>0</v>
      </c>
    </row>
    <row r="114" spans="1:43" ht="15" customHeight="1" thickTop="1" thickBot="1" x14ac:dyDescent="0.3">
      <c r="A114" s="15" t="s">
        <v>186</v>
      </c>
      <c r="B114" s="15" t="s">
        <v>185</v>
      </c>
      <c r="C114" s="15" t="s">
        <v>584</v>
      </c>
      <c r="D114" s="15" t="s">
        <v>584</v>
      </c>
      <c r="E114" s="16" t="s">
        <v>26</v>
      </c>
      <c r="F114" s="16" t="s">
        <v>26</v>
      </c>
      <c r="G114" s="18" t="s">
        <v>600</v>
      </c>
      <c r="H114" s="18">
        <v>10</v>
      </c>
      <c r="I114" s="18" t="s">
        <v>586</v>
      </c>
      <c r="J114" s="19">
        <v>44615</v>
      </c>
      <c r="K114" s="20">
        <v>44651</v>
      </c>
      <c r="L114" s="18" t="s">
        <v>66</v>
      </c>
      <c r="M114" s="20">
        <v>44652</v>
      </c>
      <c r="N114" s="21">
        <f t="shared" si="22"/>
        <v>1</v>
      </c>
      <c r="O114" s="18">
        <v>1</v>
      </c>
      <c r="P114" s="24" t="s">
        <v>653</v>
      </c>
      <c r="Q114" s="118" t="s">
        <v>588</v>
      </c>
      <c r="R114" s="118" t="s">
        <v>588</v>
      </c>
      <c r="S114" s="118">
        <f t="shared" si="19"/>
        <v>3.6989700043360187</v>
      </c>
      <c r="T114" s="18">
        <v>5000</v>
      </c>
      <c r="U114" s="18">
        <f t="shared" si="20"/>
        <v>3.6989700043360187</v>
      </c>
      <c r="V114" s="24">
        <v>2</v>
      </c>
      <c r="W114" s="25">
        <v>0</v>
      </c>
      <c r="X114" s="25">
        <v>0</v>
      </c>
      <c r="Y114" s="24">
        <v>0</v>
      </c>
      <c r="Z114" s="241">
        <v>1609401200</v>
      </c>
      <c r="AA114" s="241">
        <f t="shared" si="23"/>
        <v>9.206664320809244</v>
      </c>
      <c r="AB114" s="241">
        <v>7.0569048513364701</v>
      </c>
      <c r="AC114" s="241">
        <f t="shared" si="27"/>
        <v>0.84861426185554423</v>
      </c>
      <c r="AD114" s="26">
        <v>1</v>
      </c>
      <c r="AE114" s="26">
        <f t="shared" si="24"/>
        <v>0</v>
      </c>
      <c r="AF114" s="242"/>
      <c r="AG114" s="242"/>
      <c r="AH114" s="25">
        <v>0</v>
      </c>
      <c r="AI114" s="25">
        <v>0</v>
      </c>
      <c r="AJ114" s="24" t="s">
        <v>60</v>
      </c>
      <c r="AK114" s="24">
        <v>15</v>
      </c>
      <c r="AL114" s="24" t="s">
        <v>30</v>
      </c>
      <c r="AM114" s="31"/>
      <c r="AN114" s="25" t="s">
        <v>186</v>
      </c>
      <c r="AO114" s="25">
        <v>0</v>
      </c>
      <c r="AP114" s="25">
        <v>0</v>
      </c>
      <c r="AQ114" s="215"/>
    </row>
    <row r="115" spans="1:43" ht="15" customHeight="1" thickBot="1" x14ac:dyDescent="0.3">
      <c r="A115" s="32" t="s">
        <v>532</v>
      </c>
      <c r="B115" s="32" t="s">
        <v>185</v>
      </c>
      <c r="C115" s="32" t="s">
        <v>584</v>
      </c>
      <c r="D115" s="32" t="s">
        <v>584</v>
      </c>
      <c r="E115" s="48" t="s">
        <v>26</v>
      </c>
      <c r="F115" s="48" t="s">
        <v>26</v>
      </c>
      <c r="G115" s="34" t="s">
        <v>600</v>
      </c>
      <c r="H115" s="34">
        <v>10</v>
      </c>
      <c r="I115" s="34" t="s">
        <v>586</v>
      </c>
      <c r="J115" s="35">
        <v>44615</v>
      </c>
      <c r="K115" s="36">
        <v>44641</v>
      </c>
      <c r="L115" s="34" t="s">
        <v>66</v>
      </c>
      <c r="M115" s="36">
        <v>44652</v>
      </c>
      <c r="N115" s="37">
        <f t="shared" si="22"/>
        <v>11</v>
      </c>
      <c r="O115" s="34">
        <v>1</v>
      </c>
      <c r="P115" s="243"/>
      <c r="Q115" s="244" t="s">
        <v>588</v>
      </c>
      <c r="R115" s="244" t="s">
        <v>588</v>
      </c>
      <c r="S115" s="244">
        <f t="shared" si="19"/>
        <v>3.6989700043360187</v>
      </c>
      <c r="T115" s="34">
        <v>5000</v>
      </c>
      <c r="U115" s="34">
        <f t="shared" si="20"/>
        <v>3.6989700043360187</v>
      </c>
      <c r="V115" s="40">
        <v>8</v>
      </c>
      <c r="W115" s="53">
        <v>0</v>
      </c>
      <c r="X115" s="53">
        <v>0</v>
      </c>
      <c r="Y115" s="40">
        <v>1</v>
      </c>
      <c r="Z115" s="43">
        <v>10494008</v>
      </c>
      <c r="AA115" s="43">
        <f t="shared" si="23"/>
        <v>7.0209413909424168</v>
      </c>
      <c r="AB115" s="43">
        <v>7.4800069429571501</v>
      </c>
      <c r="AC115" s="43">
        <f t="shared" si="27"/>
        <v>0.87390200097764037</v>
      </c>
      <c r="AD115" s="39">
        <v>30200000</v>
      </c>
      <c r="AE115" s="39">
        <f t="shared" si="24"/>
        <v>7.480006942957151</v>
      </c>
      <c r="AF115" s="245">
        <v>1</v>
      </c>
      <c r="AG115" s="40">
        <v>0</v>
      </c>
      <c r="AH115" s="53">
        <v>0</v>
      </c>
      <c r="AI115" s="53">
        <v>0</v>
      </c>
      <c r="AJ115" s="40" t="s">
        <v>60</v>
      </c>
      <c r="AK115" s="40">
        <v>5</v>
      </c>
      <c r="AL115" s="40" t="s">
        <v>30</v>
      </c>
      <c r="AM115" s="47"/>
      <c r="AN115" s="53" t="s">
        <v>532</v>
      </c>
      <c r="AO115" s="53">
        <v>0</v>
      </c>
      <c r="AP115" s="53">
        <v>0</v>
      </c>
    </row>
    <row r="116" spans="1:43" ht="15" customHeight="1" x14ac:dyDescent="0.25">
      <c r="A116" s="32" t="s">
        <v>533</v>
      </c>
      <c r="B116" s="32" t="s">
        <v>185</v>
      </c>
      <c r="C116" s="32" t="s">
        <v>584</v>
      </c>
      <c r="D116" s="32" t="s">
        <v>584</v>
      </c>
      <c r="E116" s="48" t="s">
        <v>26</v>
      </c>
      <c r="F116" s="48" t="s">
        <v>26</v>
      </c>
      <c r="G116" s="34" t="s">
        <v>600</v>
      </c>
      <c r="H116" s="34">
        <v>10</v>
      </c>
      <c r="I116" s="34" t="s">
        <v>586</v>
      </c>
      <c r="J116" s="35">
        <v>44615</v>
      </c>
      <c r="K116" s="36">
        <v>44651</v>
      </c>
      <c r="L116" s="34" t="s">
        <v>66</v>
      </c>
      <c r="M116" s="36">
        <v>44652</v>
      </c>
      <c r="N116" s="37">
        <f t="shared" si="22"/>
        <v>1</v>
      </c>
      <c r="O116" s="34">
        <v>1</v>
      </c>
      <c r="P116" s="243"/>
      <c r="Q116" s="244" t="s">
        <v>588</v>
      </c>
      <c r="R116" s="244" t="s">
        <v>588</v>
      </c>
      <c r="S116" s="244">
        <f t="shared" si="19"/>
        <v>3.6989700043360187</v>
      </c>
      <c r="T116" s="34">
        <v>5000</v>
      </c>
      <c r="U116" s="34">
        <f t="shared" si="20"/>
        <v>3.6989700043360187</v>
      </c>
      <c r="V116" s="40">
        <v>5</v>
      </c>
      <c r="W116" s="53">
        <v>0</v>
      </c>
      <c r="X116" s="53">
        <v>0</v>
      </c>
      <c r="Y116" s="40">
        <v>0</v>
      </c>
      <c r="Z116" s="137">
        <v>1</v>
      </c>
      <c r="AA116" s="137">
        <f t="shared" si="23"/>
        <v>0</v>
      </c>
      <c r="AB116" s="137">
        <v>8.2513948500401</v>
      </c>
      <c r="AC116" s="137">
        <f t="shared" si="27"/>
        <v>0.91652736969794879</v>
      </c>
      <c r="AD116" s="39">
        <v>29800000</v>
      </c>
      <c r="AE116" s="39">
        <f t="shared" si="24"/>
        <v>7.4742162640762553</v>
      </c>
      <c r="AF116" s="246"/>
      <c r="AG116" s="246"/>
      <c r="AH116" s="53">
        <v>0</v>
      </c>
      <c r="AI116" s="53">
        <v>0</v>
      </c>
      <c r="AJ116" s="40" t="s">
        <v>60</v>
      </c>
      <c r="AK116" s="40">
        <v>15</v>
      </c>
      <c r="AL116" s="40" t="s">
        <v>30</v>
      </c>
      <c r="AM116" s="47"/>
      <c r="AN116" s="53" t="s">
        <v>533</v>
      </c>
      <c r="AO116" s="53">
        <v>0</v>
      </c>
      <c r="AP116" s="53">
        <v>0</v>
      </c>
    </row>
    <row r="117" spans="1:43" ht="15" customHeight="1" x14ac:dyDescent="0.25">
      <c r="A117" s="32" t="s">
        <v>535</v>
      </c>
      <c r="B117" s="32" t="s">
        <v>185</v>
      </c>
      <c r="C117" s="32" t="s">
        <v>584</v>
      </c>
      <c r="D117" s="32" t="s">
        <v>584</v>
      </c>
      <c r="E117" s="48" t="s">
        <v>26</v>
      </c>
      <c r="F117" s="48" t="s">
        <v>26</v>
      </c>
      <c r="G117" s="34" t="s">
        <v>600</v>
      </c>
      <c r="H117" s="34">
        <v>10</v>
      </c>
      <c r="I117" s="34" t="s">
        <v>586</v>
      </c>
      <c r="J117" s="35">
        <v>44615</v>
      </c>
      <c r="K117" s="36">
        <v>44641</v>
      </c>
      <c r="L117" s="34" t="s">
        <v>66</v>
      </c>
      <c r="M117" s="36">
        <v>44652</v>
      </c>
      <c r="N117" s="37">
        <f t="shared" si="22"/>
        <v>11</v>
      </c>
      <c r="O117" s="34">
        <v>1</v>
      </c>
      <c r="P117" s="243"/>
      <c r="Q117" s="244" t="s">
        <v>588</v>
      </c>
      <c r="R117" s="244" t="s">
        <v>588</v>
      </c>
      <c r="S117" s="244">
        <f t="shared" si="19"/>
        <v>3.6989700043360187</v>
      </c>
      <c r="T117" s="34">
        <v>5000</v>
      </c>
      <c r="U117" s="34">
        <f t="shared" si="20"/>
        <v>3.6989700043360187</v>
      </c>
      <c r="V117" s="40">
        <v>11</v>
      </c>
      <c r="W117" s="53">
        <v>0</v>
      </c>
      <c r="X117" s="53">
        <v>0</v>
      </c>
      <c r="Y117" s="40">
        <v>0</v>
      </c>
      <c r="Z117" s="43">
        <v>1</v>
      </c>
      <c r="AA117" s="43">
        <f t="shared" si="23"/>
        <v>0</v>
      </c>
      <c r="AB117" s="43">
        <v>7.5587085705331702</v>
      </c>
      <c r="AC117" s="43">
        <f t="shared" si="27"/>
        <v>0.87844760124182797</v>
      </c>
      <c r="AD117" s="43">
        <v>1</v>
      </c>
      <c r="AE117" s="43">
        <f t="shared" si="24"/>
        <v>0</v>
      </c>
      <c r="AF117" s="54">
        <v>1</v>
      </c>
      <c r="AG117" s="40">
        <v>0</v>
      </c>
      <c r="AH117" s="53">
        <v>0</v>
      </c>
      <c r="AI117" s="53">
        <v>0</v>
      </c>
      <c r="AJ117" s="40" t="s">
        <v>60</v>
      </c>
      <c r="AK117" s="40">
        <v>5</v>
      </c>
      <c r="AL117" s="40" t="s">
        <v>30</v>
      </c>
      <c r="AM117" s="47"/>
      <c r="AN117" s="53" t="s">
        <v>535</v>
      </c>
      <c r="AO117" s="53">
        <v>0</v>
      </c>
      <c r="AP117" s="53">
        <v>0</v>
      </c>
    </row>
    <row r="118" spans="1:43" ht="15" customHeight="1" x14ac:dyDescent="0.25">
      <c r="A118" s="32" t="s">
        <v>536</v>
      </c>
      <c r="B118" s="32" t="s">
        <v>185</v>
      </c>
      <c r="C118" s="32" t="s">
        <v>584</v>
      </c>
      <c r="D118" s="32" t="s">
        <v>584</v>
      </c>
      <c r="E118" s="48" t="s">
        <v>26</v>
      </c>
      <c r="F118" s="48" t="s">
        <v>26</v>
      </c>
      <c r="G118" s="34" t="s">
        <v>600</v>
      </c>
      <c r="H118" s="34">
        <v>10</v>
      </c>
      <c r="I118" s="34" t="s">
        <v>586</v>
      </c>
      <c r="J118" s="35">
        <v>44615</v>
      </c>
      <c r="K118" s="36">
        <v>44651</v>
      </c>
      <c r="L118" s="34" t="s">
        <v>66</v>
      </c>
      <c r="M118" s="36">
        <v>44652</v>
      </c>
      <c r="N118" s="37">
        <f t="shared" si="22"/>
        <v>1</v>
      </c>
      <c r="O118" s="34">
        <v>1</v>
      </c>
      <c r="P118" s="243"/>
      <c r="Q118" s="244" t="s">
        <v>588</v>
      </c>
      <c r="R118" s="244" t="s">
        <v>588</v>
      </c>
      <c r="S118" s="244">
        <f t="shared" si="19"/>
        <v>3.6989700043360187</v>
      </c>
      <c r="T118" s="34">
        <v>5000</v>
      </c>
      <c r="U118" s="34">
        <f t="shared" si="20"/>
        <v>3.6989700043360187</v>
      </c>
      <c r="V118" s="40">
        <v>2</v>
      </c>
      <c r="W118" s="53">
        <v>0</v>
      </c>
      <c r="X118" s="53">
        <v>0</v>
      </c>
      <c r="Y118" s="40">
        <v>0</v>
      </c>
      <c r="Z118" s="43">
        <v>1</v>
      </c>
      <c r="AA118" s="43">
        <f t="shared" si="23"/>
        <v>0</v>
      </c>
      <c r="AB118" s="43">
        <v>0</v>
      </c>
      <c r="AC118" s="43">
        <v>0</v>
      </c>
      <c r="AD118" s="43">
        <v>1</v>
      </c>
      <c r="AE118" s="43">
        <f t="shared" si="24"/>
        <v>0</v>
      </c>
      <c r="AF118" s="246"/>
      <c r="AG118" s="246"/>
      <c r="AH118" s="54">
        <v>0</v>
      </c>
      <c r="AI118" s="53">
        <v>0</v>
      </c>
      <c r="AJ118" s="40" t="s">
        <v>29</v>
      </c>
      <c r="AK118" s="40">
        <v>15</v>
      </c>
      <c r="AL118" s="40" t="s">
        <v>30</v>
      </c>
      <c r="AM118" s="47"/>
      <c r="AN118" s="53" t="s">
        <v>536</v>
      </c>
      <c r="AO118" s="53">
        <v>0</v>
      </c>
      <c r="AP118" s="53">
        <v>0</v>
      </c>
    </row>
    <row r="119" spans="1:43" ht="15" customHeight="1" thickBot="1" x14ac:dyDescent="0.3">
      <c r="A119" s="58" t="s">
        <v>538</v>
      </c>
      <c r="B119" s="58" t="s">
        <v>185</v>
      </c>
      <c r="C119" s="58" t="s">
        <v>584</v>
      </c>
      <c r="D119" s="58" t="s">
        <v>584</v>
      </c>
      <c r="E119" s="59" t="s">
        <v>26</v>
      </c>
      <c r="F119" s="60" t="s">
        <v>31</v>
      </c>
      <c r="G119" s="61" t="s">
        <v>600</v>
      </c>
      <c r="H119" s="61">
        <v>10</v>
      </c>
      <c r="I119" s="61" t="s">
        <v>586</v>
      </c>
      <c r="J119" s="62">
        <v>44615</v>
      </c>
      <c r="K119" s="63">
        <v>44641</v>
      </c>
      <c r="L119" s="61" t="s">
        <v>66</v>
      </c>
      <c r="M119" s="63">
        <v>44652</v>
      </c>
      <c r="N119" s="64">
        <f t="shared" si="22"/>
        <v>11</v>
      </c>
      <c r="O119" s="61">
        <v>1</v>
      </c>
      <c r="P119" s="247"/>
      <c r="Q119" s="248" t="s">
        <v>588</v>
      </c>
      <c r="R119" s="248" t="s">
        <v>588</v>
      </c>
      <c r="S119" s="248">
        <f t="shared" si="19"/>
        <v>3.6989700043360187</v>
      </c>
      <c r="T119" s="61">
        <v>5000</v>
      </c>
      <c r="U119" s="61">
        <f t="shared" si="20"/>
        <v>3.6989700043360187</v>
      </c>
      <c r="V119" s="76">
        <v>25</v>
      </c>
      <c r="W119" s="68">
        <v>0</v>
      </c>
      <c r="X119" s="68">
        <v>0</v>
      </c>
      <c r="Y119" s="76">
        <v>0</v>
      </c>
      <c r="Z119" s="128">
        <v>1860000000</v>
      </c>
      <c r="AA119" s="128">
        <f t="shared" si="23"/>
        <v>9.2695129442179169</v>
      </c>
      <c r="AB119" s="128">
        <v>10.0382712909428</v>
      </c>
      <c r="AC119" s="128">
        <f t="shared" si="27"/>
        <v>1.0016589286012036</v>
      </c>
      <c r="AD119" s="71">
        <v>257000000</v>
      </c>
      <c r="AE119" s="71">
        <f t="shared" si="24"/>
        <v>8.4099331233312942</v>
      </c>
      <c r="AF119" s="157"/>
      <c r="AG119" s="157"/>
      <c r="AH119" s="249">
        <v>4.2671717284030137</v>
      </c>
      <c r="AI119" s="158">
        <f>LOG10(AH119)</f>
        <v>0.6301401209931482</v>
      </c>
      <c r="AJ119" s="76" t="s">
        <v>29</v>
      </c>
      <c r="AK119" s="76">
        <v>15</v>
      </c>
      <c r="AL119" s="76" t="s">
        <v>30</v>
      </c>
      <c r="AM119" s="77"/>
      <c r="AN119" s="68" t="s">
        <v>538</v>
      </c>
      <c r="AO119" s="68">
        <v>0</v>
      </c>
      <c r="AP119" s="68">
        <v>4</v>
      </c>
    </row>
    <row r="120" spans="1:43" ht="15" customHeight="1" thickTop="1" x14ac:dyDescent="0.25">
      <c r="A120" s="78" t="s">
        <v>539</v>
      </c>
      <c r="B120" s="78" t="s">
        <v>205</v>
      </c>
      <c r="C120" s="78" t="s">
        <v>589</v>
      </c>
      <c r="D120" s="78" t="s">
        <v>584</v>
      </c>
      <c r="E120" s="79" t="s">
        <v>31</v>
      </c>
      <c r="F120" s="79" t="s">
        <v>31</v>
      </c>
      <c r="G120" s="80" t="s">
        <v>600</v>
      </c>
      <c r="H120" s="80">
        <v>25</v>
      </c>
      <c r="I120" s="80" t="s">
        <v>591</v>
      </c>
      <c r="J120" s="81">
        <v>44658</v>
      </c>
      <c r="K120" s="82">
        <v>44721</v>
      </c>
      <c r="L120" s="80" t="s">
        <v>66</v>
      </c>
      <c r="M120" s="82">
        <v>44733</v>
      </c>
      <c r="N120" s="84">
        <f t="shared" si="22"/>
        <v>12</v>
      </c>
      <c r="O120" s="80">
        <v>1</v>
      </c>
      <c r="P120" s="85" t="s">
        <v>653</v>
      </c>
      <c r="Q120" s="80" t="s">
        <v>588</v>
      </c>
      <c r="R120" s="80" t="s">
        <v>588</v>
      </c>
      <c r="S120" s="80">
        <f t="shared" si="19"/>
        <v>3.6989700043360187</v>
      </c>
      <c r="T120" s="80">
        <v>5000</v>
      </c>
      <c r="U120" s="80">
        <f t="shared" si="20"/>
        <v>3.6989700043360187</v>
      </c>
      <c r="V120" s="80">
        <v>13</v>
      </c>
      <c r="W120" s="80">
        <v>1</v>
      </c>
      <c r="X120" s="80">
        <v>1</v>
      </c>
      <c r="Y120" s="80">
        <v>3</v>
      </c>
      <c r="Z120" s="80">
        <v>7.7469867838377056</v>
      </c>
      <c r="AA120" s="80">
        <f t="shared" si="23"/>
        <v>0.88913281507202246</v>
      </c>
      <c r="AB120" s="80">
        <v>10.301029995664001</v>
      </c>
      <c r="AC120" s="80">
        <f t="shared" si="27"/>
        <v>1.0128806517992279</v>
      </c>
      <c r="AD120" s="80">
        <v>11.859738566197146</v>
      </c>
      <c r="AE120" s="80">
        <f t="shared" si="24"/>
        <v>1.0740751156294772</v>
      </c>
      <c r="AF120" s="18">
        <v>7.1583624920952493</v>
      </c>
      <c r="AG120" s="80">
        <f t="shared" si="25"/>
        <v>0.85481368683557668</v>
      </c>
      <c r="AH120" s="250">
        <v>4.4913616938342731</v>
      </c>
      <c r="AI120" s="186">
        <f t="shared" ref="AI120:AI126" si="28">LOG10(AH120)</f>
        <v>0.6523780306385828</v>
      </c>
      <c r="AJ120" s="80" t="s">
        <v>29</v>
      </c>
      <c r="AK120" s="80">
        <v>6</v>
      </c>
      <c r="AL120" s="80" t="s">
        <v>30</v>
      </c>
      <c r="AM120" s="95"/>
      <c r="AN120" s="89" t="s">
        <v>539</v>
      </c>
      <c r="AO120" s="89">
        <v>5</v>
      </c>
      <c r="AP120" s="89">
        <v>4</v>
      </c>
    </row>
    <row r="121" spans="1:43" ht="15" customHeight="1" x14ac:dyDescent="0.25">
      <c r="A121" s="32" t="s">
        <v>540</v>
      </c>
      <c r="B121" s="32" t="s">
        <v>205</v>
      </c>
      <c r="C121" s="32" t="s">
        <v>589</v>
      </c>
      <c r="D121" s="32" t="s">
        <v>584</v>
      </c>
      <c r="E121" s="33" t="s">
        <v>31</v>
      </c>
      <c r="F121" s="33" t="s">
        <v>31</v>
      </c>
      <c r="G121" s="34" t="s">
        <v>600</v>
      </c>
      <c r="H121" s="34">
        <v>25</v>
      </c>
      <c r="I121" s="34" t="s">
        <v>591</v>
      </c>
      <c r="J121" s="35">
        <v>44658</v>
      </c>
      <c r="K121" s="36">
        <v>44721</v>
      </c>
      <c r="L121" s="34" t="s">
        <v>66</v>
      </c>
      <c r="M121" s="36">
        <v>44733</v>
      </c>
      <c r="N121" s="37">
        <f t="shared" si="22"/>
        <v>12</v>
      </c>
      <c r="O121" s="34">
        <v>1</v>
      </c>
      <c r="P121" s="97"/>
      <c r="Q121" s="244" t="s">
        <v>588</v>
      </c>
      <c r="R121" s="244" t="s">
        <v>588</v>
      </c>
      <c r="S121" s="244">
        <f t="shared" si="19"/>
        <v>3.6989700043360187</v>
      </c>
      <c r="T121" s="34">
        <v>5000</v>
      </c>
      <c r="U121" s="34">
        <f t="shared" si="20"/>
        <v>3.6989700043360187</v>
      </c>
      <c r="V121" s="40">
        <v>23</v>
      </c>
      <c r="W121" s="53">
        <v>2</v>
      </c>
      <c r="X121" s="53">
        <v>2</v>
      </c>
      <c r="Y121" s="40">
        <v>0</v>
      </c>
      <c r="Z121" s="43">
        <v>79492920</v>
      </c>
      <c r="AA121" s="43">
        <f t="shared" si="23"/>
        <v>7.9003284501425606</v>
      </c>
      <c r="AB121" s="43">
        <v>10.4653828514484</v>
      </c>
      <c r="AC121" s="43">
        <f t="shared" si="27"/>
        <v>1.0197551206087796</v>
      </c>
      <c r="AD121" s="39">
        <v>3110000000</v>
      </c>
      <c r="AE121" s="39">
        <f t="shared" si="24"/>
        <v>9.4927603890268379</v>
      </c>
      <c r="AF121" s="251">
        <v>6670000</v>
      </c>
      <c r="AG121" s="252">
        <f t="shared" si="25"/>
        <v>6.8241258339165487</v>
      </c>
      <c r="AH121" s="187">
        <v>4.4913616938342731</v>
      </c>
      <c r="AI121" s="136">
        <f t="shared" si="28"/>
        <v>0.6523780306385828</v>
      </c>
      <c r="AJ121" s="40" t="s">
        <v>29</v>
      </c>
      <c r="AK121" s="40">
        <v>6</v>
      </c>
      <c r="AL121" s="40" t="s">
        <v>30</v>
      </c>
      <c r="AM121" s="47"/>
      <c r="AN121" s="53" t="s">
        <v>540</v>
      </c>
      <c r="AO121" s="53">
        <v>5</v>
      </c>
      <c r="AP121" s="53">
        <v>4</v>
      </c>
    </row>
    <row r="122" spans="1:43" ht="15" customHeight="1" x14ac:dyDescent="0.25">
      <c r="A122" s="32" t="s">
        <v>541</v>
      </c>
      <c r="B122" s="32" t="s">
        <v>205</v>
      </c>
      <c r="C122" s="32" t="s">
        <v>589</v>
      </c>
      <c r="D122" s="32" t="s">
        <v>584</v>
      </c>
      <c r="E122" s="33" t="s">
        <v>31</v>
      </c>
      <c r="F122" s="33" t="s">
        <v>31</v>
      </c>
      <c r="G122" s="34" t="s">
        <v>600</v>
      </c>
      <c r="H122" s="34">
        <v>23</v>
      </c>
      <c r="I122" s="34" t="s">
        <v>591</v>
      </c>
      <c r="J122" s="35">
        <v>44658</v>
      </c>
      <c r="K122" s="36">
        <v>44721</v>
      </c>
      <c r="L122" s="34" t="s">
        <v>66</v>
      </c>
      <c r="M122" s="36">
        <v>44733</v>
      </c>
      <c r="N122" s="37">
        <f t="shared" si="22"/>
        <v>12</v>
      </c>
      <c r="O122" s="34">
        <v>1</v>
      </c>
      <c r="P122" s="97"/>
      <c r="Q122" s="34" t="s">
        <v>588</v>
      </c>
      <c r="R122" s="34" t="s">
        <v>588</v>
      </c>
      <c r="S122" s="34">
        <f t="shared" si="19"/>
        <v>3.6989700043360187</v>
      </c>
      <c r="T122" s="34">
        <v>5000</v>
      </c>
      <c r="U122" s="34">
        <f t="shared" si="20"/>
        <v>3.6989700043360187</v>
      </c>
      <c r="V122" s="34">
        <v>28</v>
      </c>
      <c r="W122" s="34">
        <v>1</v>
      </c>
      <c r="X122" s="34">
        <v>1</v>
      </c>
      <c r="Y122" s="34">
        <v>3</v>
      </c>
      <c r="Z122" s="34">
        <v>7.4909728963389863</v>
      </c>
      <c r="AA122" s="34">
        <f t="shared" si="23"/>
        <v>0.87453822571982709</v>
      </c>
      <c r="AB122" s="34">
        <v>10.131116825332301</v>
      </c>
      <c r="AC122" s="34">
        <f t="shared" si="27"/>
        <v>1.0056573233804054</v>
      </c>
      <c r="AD122" s="34">
        <v>11.06595298031387</v>
      </c>
      <c r="AE122" s="34">
        <f t="shared" si="24"/>
        <v>1.0439888205470647</v>
      </c>
      <c r="AF122" s="34">
        <v>7.8241258339165487</v>
      </c>
      <c r="AG122" s="34">
        <f t="shared" si="25"/>
        <v>0.89343582651064635</v>
      </c>
      <c r="AH122" s="187">
        <v>5.1583624920952493</v>
      </c>
      <c r="AI122" s="136">
        <f t="shared" si="28"/>
        <v>0.71251185792311178</v>
      </c>
      <c r="AJ122" s="34" t="s">
        <v>29</v>
      </c>
      <c r="AK122" s="34">
        <v>6</v>
      </c>
      <c r="AL122" s="34" t="s">
        <v>30</v>
      </c>
      <c r="AM122" s="52"/>
      <c r="AN122" s="49" t="s">
        <v>541</v>
      </c>
      <c r="AO122" s="49">
        <v>5</v>
      </c>
      <c r="AP122" s="49">
        <v>4</v>
      </c>
    </row>
    <row r="123" spans="1:43" ht="15" customHeight="1" x14ac:dyDescent="0.25">
      <c r="A123" s="32" t="s">
        <v>542</v>
      </c>
      <c r="B123" s="32" t="s">
        <v>205</v>
      </c>
      <c r="C123" s="32" t="s">
        <v>589</v>
      </c>
      <c r="D123" s="32" t="s">
        <v>584</v>
      </c>
      <c r="E123" s="33" t="s">
        <v>31</v>
      </c>
      <c r="F123" s="33" t="s">
        <v>31</v>
      </c>
      <c r="G123" s="34" t="s">
        <v>600</v>
      </c>
      <c r="H123" s="34">
        <v>23</v>
      </c>
      <c r="I123" s="34" t="s">
        <v>591</v>
      </c>
      <c r="J123" s="35">
        <v>44658</v>
      </c>
      <c r="K123" s="36">
        <v>44721</v>
      </c>
      <c r="L123" s="34" t="s">
        <v>66</v>
      </c>
      <c r="M123" s="36">
        <v>44733</v>
      </c>
      <c r="N123" s="37">
        <f t="shared" si="22"/>
        <v>12</v>
      </c>
      <c r="O123" s="34">
        <v>1</v>
      </c>
      <c r="P123" s="97"/>
      <c r="Q123" s="34" t="s">
        <v>588</v>
      </c>
      <c r="R123" s="34" t="s">
        <v>588</v>
      </c>
      <c r="S123" s="34">
        <f t="shared" si="19"/>
        <v>3.6989700043360187</v>
      </c>
      <c r="T123" s="34">
        <v>5000</v>
      </c>
      <c r="U123" s="34">
        <f t="shared" si="20"/>
        <v>3.6989700043360187</v>
      </c>
      <c r="V123" s="34">
        <v>15</v>
      </c>
      <c r="W123" s="34">
        <v>1</v>
      </c>
      <c r="X123" s="34">
        <v>1</v>
      </c>
      <c r="Y123" s="34">
        <v>3</v>
      </c>
      <c r="Z123" s="34">
        <v>7.1416203846905466</v>
      </c>
      <c r="AA123" s="34">
        <f t="shared" si="23"/>
        <v>0.85379676139641758</v>
      </c>
      <c r="AB123" s="34">
        <v>10.4828735836088</v>
      </c>
      <c r="AC123" s="34">
        <f t="shared" si="27"/>
        <v>1.0204803485293417</v>
      </c>
      <c r="AD123" s="34">
        <v>10.789580712164426</v>
      </c>
      <c r="AE123" s="34">
        <f t="shared" si="24"/>
        <v>1.0330045681369044</v>
      </c>
      <c r="AF123" s="34">
        <v>7.4913616938342731</v>
      </c>
      <c r="AG123" s="34">
        <f t="shared" si="25"/>
        <v>0.87456076594622545</v>
      </c>
      <c r="AH123" s="187">
        <v>4.1583624920952493</v>
      </c>
      <c r="AI123" s="136">
        <f t="shared" si="28"/>
        <v>0.61892234489320008</v>
      </c>
      <c r="AJ123" s="34" t="s">
        <v>29</v>
      </c>
      <c r="AK123" s="34">
        <v>6</v>
      </c>
      <c r="AL123" s="34" t="s">
        <v>30</v>
      </c>
      <c r="AM123" s="52"/>
      <c r="AN123" s="49" t="s">
        <v>542</v>
      </c>
      <c r="AO123" s="49">
        <v>5</v>
      </c>
      <c r="AP123" s="49">
        <v>4</v>
      </c>
    </row>
    <row r="124" spans="1:43" ht="15" customHeight="1" x14ac:dyDescent="0.25">
      <c r="A124" s="32" t="s">
        <v>543</v>
      </c>
      <c r="B124" s="32" t="s">
        <v>205</v>
      </c>
      <c r="C124" s="32" t="s">
        <v>589</v>
      </c>
      <c r="D124" s="32" t="s">
        <v>584</v>
      </c>
      <c r="E124" s="33" t="s">
        <v>31</v>
      </c>
      <c r="F124" s="33" t="s">
        <v>31</v>
      </c>
      <c r="G124" s="34" t="s">
        <v>600</v>
      </c>
      <c r="H124" s="34">
        <v>23</v>
      </c>
      <c r="I124" s="34" t="s">
        <v>591</v>
      </c>
      <c r="J124" s="35">
        <v>44658</v>
      </c>
      <c r="K124" s="36">
        <v>44721</v>
      </c>
      <c r="L124" s="34" t="s">
        <v>66</v>
      </c>
      <c r="M124" s="36">
        <v>44733</v>
      </c>
      <c r="N124" s="37">
        <f t="shared" si="22"/>
        <v>12</v>
      </c>
      <c r="O124" s="34">
        <v>1</v>
      </c>
      <c r="P124" s="97"/>
      <c r="Q124" s="34" t="s">
        <v>81</v>
      </c>
      <c r="R124" s="34" t="s">
        <v>81</v>
      </c>
      <c r="S124" s="34">
        <f t="shared" si="19"/>
        <v>3.6989700043360187</v>
      </c>
      <c r="T124" s="34">
        <v>5000</v>
      </c>
      <c r="U124" s="34">
        <f t="shared" si="20"/>
        <v>3.6989700043360187</v>
      </c>
      <c r="V124" s="34">
        <v>27</v>
      </c>
      <c r="W124" s="34">
        <v>2</v>
      </c>
      <c r="X124" s="34">
        <v>2</v>
      </c>
      <c r="Y124" s="34">
        <v>2</v>
      </c>
      <c r="Z124" s="34">
        <v>7.361632280720106</v>
      </c>
      <c r="AA124" s="34">
        <f t="shared" si="23"/>
        <v>0.86697412030399046</v>
      </c>
      <c r="AB124" s="34">
        <v>10.803457115648399</v>
      </c>
      <c r="AC124" s="34">
        <f t="shared" si="27"/>
        <v>1.0335627523386277</v>
      </c>
      <c r="AD124" s="34">
        <v>11.248463717551031</v>
      </c>
      <c r="AE124" s="34">
        <f t="shared" si="24"/>
        <v>1.0510932118206964</v>
      </c>
      <c r="AF124" s="34">
        <v>6.4913616938342731</v>
      </c>
      <c r="AG124" s="34">
        <f t="shared" si="25"/>
        <v>0.81233580837007713</v>
      </c>
      <c r="AH124" s="187">
        <v>4.4913616938342731</v>
      </c>
      <c r="AI124" s="136">
        <f t="shared" si="28"/>
        <v>0.6523780306385828</v>
      </c>
      <c r="AJ124" s="34" t="s">
        <v>29</v>
      </c>
      <c r="AK124" s="34">
        <v>6</v>
      </c>
      <c r="AL124" s="34" t="s">
        <v>30</v>
      </c>
      <c r="AM124" s="52"/>
      <c r="AN124" s="49" t="s">
        <v>543</v>
      </c>
      <c r="AO124" s="49">
        <v>4</v>
      </c>
      <c r="AP124" s="49">
        <v>4</v>
      </c>
    </row>
    <row r="125" spans="1:43" ht="15" customHeight="1" x14ac:dyDescent="0.25">
      <c r="A125" s="32" t="s">
        <v>544</v>
      </c>
      <c r="B125" s="32" t="s">
        <v>205</v>
      </c>
      <c r="C125" s="32" t="s">
        <v>589</v>
      </c>
      <c r="D125" s="32" t="s">
        <v>584</v>
      </c>
      <c r="E125" s="33" t="s">
        <v>31</v>
      </c>
      <c r="F125" s="33" t="s">
        <v>31</v>
      </c>
      <c r="G125" s="34" t="s">
        <v>600</v>
      </c>
      <c r="H125" s="34">
        <v>23</v>
      </c>
      <c r="I125" s="34" t="s">
        <v>591</v>
      </c>
      <c r="J125" s="35">
        <v>44658</v>
      </c>
      <c r="K125" s="36">
        <v>44721</v>
      </c>
      <c r="L125" s="34" t="s">
        <v>66</v>
      </c>
      <c r="M125" s="36">
        <v>44733</v>
      </c>
      <c r="N125" s="37">
        <f t="shared" si="22"/>
        <v>12</v>
      </c>
      <c r="O125" s="34">
        <v>1</v>
      </c>
      <c r="P125" s="97"/>
      <c r="Q125" s="34" t="s">
        <v>81</v>
      </c>
      <c r="R125" s="34" t="s">
        <v>81</v>
      </c>
      <c r="S125" s="34">
        <f t="shared" si="19"/>
        <v>3.6989700043360187</v>
      </c>
      <c r="T125" s="34">
        <v>5000</v>
      </c>
      <c r="U125" s="34">
        <f t="shared" si="20"/>
        <v>3.6989700043360187</v>
      </c>
      <c r="V125" s="40">
        <v>31</v>
      </c>
      <c r="W125" s="53">
        <v>1</v>
      </c>
      <c r="X125" s="53">
        <v>1</v>
      </c>
      <c r="Y125" s="40">
        <v>2</v>
      </c>
      <c r="Z125" s="43">
        <v>50001620</v>
      </c>
      <c r="AA125" s="43">
        <f t="shared" si="23"/>
        <v>7.6989840752492853</v>
      </c>
      <c r="AB125" s="43">
        <v>10.761927838420499</v>
      </c>
      <c r="AC125" s="43">
        <f t="shared" si="27"/>
        <v>1.0318900756605911</v>
      </c>
      <c r="AD125" s="39">
        <v>1120000000</v>
      </c>
      <c r="AE125" s="39">
        <f t="shared" si="24"/>
        <v>9.0492180226701819</v>
      </c>
      <c r="AF125" s="251">
        <v>31000000</v>
      </c>
      <c r="AG125" s="252">
        <f t="shared" si="25"/>
        <v>7.4913616938342731</v>
      </c>
      <c r="AH125" s="187">
        <v>4.8241258339165487</v>
      </c>
      <c r="AI125" s="136">
        <f t="shared" si="28"/>
        <v>0.68341862754479121</v>
      </c>
      <c r="AJ125" s="40" t="s">
        <v>29</v>
      </c>
      <c r="AK125" s="40">
        <v>6</v>
      </c>
      <c r="AL125" s="40" t="s">
        <v>30</v>
      </c>
      <c r="AM125" s="47"/>
      <c r="AN125" s="53" t="s">
        <v>544</v>
      </c>
      <c r="AO125" s="53">
        <v>5</v>
      </c>
      <c r="AP125" s="53">
        <v>4</v>
      </c>
    </row>
    <row r="126" spans="1:43" ht="15" customHeight="1" x14ac:dyDescent="0.25">
      <c r="A126" s="32" t="s">
        <v>545</v>
      </c>
      <c r="B126" s="32" t="s">
        <v>205</v>
      </c>
      <c r="C126" s="32" t="s">
        <v>589</v>
      </c>
      <c r="D126" s="32" t="s">
        <v>584</v>
      </c>
      <c r="E126" s="33" t="s">
        <v>31</v>
      </c>
      <c r="F126" s="33" t="s">
        <v>31</v>
      </c>
      <c r="G126" s="34" t="s">
        <v>600</v>
      </c>
      <c r="H126" s="34">
        <v>23</v>
      </c>
      <c r="I126" s="34" t="s">
        <v>591</v>
      </c>
      <c r="J126" s="35">
        <v>44658</v>
      </c>
      <c r="K126" s="36">
        <v>44721</v>
      </c>
      <c r="L126" s="34" t="s">
        <v>66</v>
      </c>
      <c r="M126" s="36">
        <v>44733</v>
      </c>
      <c r="N126" s="37">
        <f t="shared" si="22"/>
        <v>12</v>
      </c>
      <c r="O126" s="34">
        <v>1</v>
      </c>
      <c r="P126" s="97"/>
      <c r="Q126" s="34" t="s">
        <v>81</v>
      </c>
      <c r="R126" s="34" t="s">
        <v>81</v>
      </c>
      <c r="S126" s="34">
        <f t="shared" si="19"/>
        <v>3.6989700043360187</v>
      </c>
      <c r="T126" s="34">
        <v>5000</v>
      </c>
      <c r="U126" s="34">
        <f t="shared" si="20"/>
        <v>3.6989700043360187</v>
      </c>
      <c r="V126" s="34">
        <v>43</v>
      </c>
      <c r="W126" s="34">
        <v>2</v>
      </c>
      <c r="X126" s="34">
        <v>2</v>
      </c>
      <c r="Y126" s="34">
        <v>2</v>
      </c>
      <c r="Z126" s="34">
        <v>7.361632280720106</v>
      </c>
      <c r="AA126" s="34">
        <f t="shared" si="23"/>
        <v>0.86697412030399046</v>
      </c>
      <c r="AB126" s="34">
        <v>10.267124244508899</v>
      </c>
      <c r="AC126" s="34">
        <f t="shared" si="27"/>
        <v>1.0114488175376233</v>
      </c>
      <c r="AD126" s="34">
        <v>7.3976345053648069</v>
      </c>
      <c r="AE126" s="34">
        <f t="shared" si="24"/>
        <v>0.86909287033914751</v>
      </c>
      <c r="AF126" s="34">
        <v>3.8241258339165491</v>
      </c>
      <c r="AG126" s="34">
        <f t="shared" si="25"/>
        <v>0.58253217441903737</v>
      </c>
      <c r="AH126" s="187">
        <v>3.8241258339165491</v>
      </c>
      <c r="AI126" s="136">
        <f t="shared" si="28"/>
        <v>0.58253217441903737</v>
      </c>
      <c r="AJ126" s="34" t="s">
        <v>29</v>
      </c>
      <c r="AK126" s="34">
        <v>6</v>
      </c>
      <c r="AL126" s="34" t="s">
        <v>30</v>
      </c>
      <c r="AM126" s="52"/>
      <c r="AN126" s="49" t="s">
        <v>545</v>
      </c>
      <c r="AO126" s="49">
        <v>4</v>
      </c>
      <c r="AP126" s="49">
        <v>3</v>
      </c>
    </row>
    <row r="127" spans="1:43" ht="15" customHeight="1" x14ac:dyDescent="0.25">
      <c r="A127" s="32" t="s">
        <v>546</v>
      </c>
      <c r="B127" s="32" t="s">
        <v>205</v>
      </c>
      <c r="C127" s="32" t="s">
        <v>584</v>
      </c>
      <c r="D127" s="32" t="s">
        <v>584</v>
      </c>
      <c r="E127" s="48" t="s">
        <v>26</v>
      </c>
      <c r="F127" s="48" t="s">
        <v>26</v>
      </c>
      <c r="G127" s="34" t="s">
        <v>600</v>
      </c>
      <c r="H127" s="34">
        <v>33</v>
      </c>
      <c r="I127" s="34" t="s">
        <v>591</v>
      </c>
      <c r="J127" s="35">
        <v>44658</v>
      </c>
      <c r="K127" s="36">
        <v>44721</v>
      </c>
      <c r="L127" s="34" t="s">
        <v>66</v>
      </c>
      <c r="M127" s="36">
        <v>44733</v>
      </c>
      <c r="N127" s="37">
        <f t="shared" si="22"/>
        <v>12</v>
      </c>
      <c r="O127" s="34">
        <v>1</v>
      </c>
      <c r="P127" s="97"/>
      <c r="Q127" s="244" t="s">
        <v>588</v>
      </c>
      <c r="R127" s="244" t="s">
        <v>588</v>
      </c>
      <c r="S127" s="244">
        <f t="shared" si="19"/>
        <v>3.6989700043360187</v>
      </c>
      <c r="T127" s="34">
        <v>5000</v>
      </c>
      <c r="U127" s="34">
        <f t="shared" si="20"/>
        <v>3.6989700043360187</v>
      </c>
      <c r="V127" s="40">
        <v>9</v>
      </c>
      <c r="W127" s="53">
        <v>0</v>
      </c>
      <c r="X127" s="53">
        <v>0</v>
      </c>
      <c r="Y127" s="34">
        <v>0</v>
      </c>
      <c r="Z127" s="252">
        <v>1054.77</v>
      </c>
      <c r="AA127" s="252">
        <f t="shared" si="23"/>
        <v>3.023157768998018</v>
      </c>
      <c r="AB127" s="253"/>
      <c r="AC127" s="253"/>
      <c r="AD127" s="43">
        <v>1256.499</v>
      </c>
      <c r="AE127" s="43">
        <f t="shared" si="24"/>
        <v>3.0991621472901909</v>
      </c>
      <c r="AF127" s="254">
        <v>0</v>
      </c>
      <c r="AG127" s="39">
        <v>0</v>
      </c>
      <c r="AH127" s="252">
        <v>0</v>
      </c>
      <c r="AI127" s="255">
        <v>0</v>
      </c>
      <c r="AJ127" s="252" t="s">
        <v>60</v>
      </c>
      <c r="AK127" s="40">
        <v>6</v>
      </c>
      <c r="AL127" s="39" t="s">
        <v>30</v>
      </c>
      <c r="AM127" s="256"/>
      <c r="AN127" s="55" t="s">
        <v>546</v>
      </c>
      <c r="AO127" s="55">
        <v>0</v>
      </c>
      <c r="AP127" s="55">
        <v>0</v>
      </c>
    </row>
    <row r="128" spans="1:43" ht="15" customHeight="1" x14ac:dyDescent="0.25">
      <c r="A128" s="32" t="s">
        <v>547</v>
      </c>
      <c r="B128" s="32" t="s">
        <v>205</v>
      </c>
      <c r="C128" s="32" t="s">
        <v>584</v>
      </c>
      <c r="D128" s="32" t="s">
        <v>584</v>
      </c>
      <c r="E128" s="48" t="s">
        <v>26</v>
      </c>
      <c r="F128" s="33" t="s">
        <v>31</v>
      </c>
      <c r="G128" s="34" t="s">
        <v>600</v>
      </c>
      <c r="H128" s="34">
        <v>26</v>
      </c>
      <c r="I128" s="34" t="s">
        <v>591</v>
      </c>
      <c r="J128" s="35">
        <v>44658</v>
      </c>
      <c r="K128" s="36">
        <v>44721</v>
      </c>
      <c r="L128" s="34" t="s">
        <v>66</v>
      </c>
      <c r="M128" s="36">
        <v>44733</v>
      </c>
      <c r="N128" s="37">
        <f t="shared" si="22"/>
        <v>12</v>
      </c>
      <c r="O128" s="34">
        <v>1</v>
      </c>
      <c r="P128" s="97"/>
      <c r="Q128" s="244" t="s">
        <v>81</v>
      </c>
      <c r="R128" s="244" t="s">
        <v>81</v>
      </c>
      <c r="S128" s="244">
        <f t="shared" si="19"/>
        <v>3.6989700043360187</v>
      </c>
      <c r="T128" s="34">
        <v>5000</v>
      </c>
      <c r="U128" s="34">
        <f t="shared" si="20"/>
        <v>3.6989700043360187</v>
      </c>
      <c r="V128" s="40">
        <v>11</v>
      </c>
      <c r="W128" s="53">
        <v>0</v>
      </c>
      <c r="X128" s="53">
        <v>0</v>
      </c>
      <c r="Y128" s="40">
        <v>0</v>
      </c>
      <c r="Z128" s="43">
        <v>60835.68</v>
      </c>
      <c r="AA128" s="43">
        <f t="shared" si="23"/>
        <v>4.7841583668080823</v>
      </c>
      <c r="AB128" s="43">
        <v>7.3176300772134999</v>
      </c>
      <c r="AC128" s="43">
        <f t="shared" si="27"/>
        <v>0.86437045113506716</v>
      </c>
      <c r="AD128" s="39">
        <v>3397.7040000000002</v>
      </c>
      <c r="AE128" s="39">
        <f t="shared" si="24"/>
        <v>3.5311855414647457</v>
      </c>
      <c r="AF128" s="45">
        <v>0</v>
      </c>
      <c r="AG128" s="43">
        <v>0</v>
      </c>
      <c r="AH128" s="43">
        <v>0</v>
      </c>
      <c r="AI128" s="39">
        <v>0</v>
      </c>
      <c r="AJ128" s="40" t="s">
        <v>60</v>
      </c>
      <c r="AK128" s="40">
        <v>6</v>
      </c>
      <c r="AL128" s="40" t="s">
        <v>30</v>
      </c>
      <c r="AM128" s="47"/>
      <c r="AN128" s="53" t="s">
        <v>547</v>
      </c>
      <c r="AO128" s="53">
        <v>0</v>
      </c>
      <c r="AP128" s="53">
        <v>1</v>
      </c>
    </row>
    <row r="129" spans="1:42" ht="15" customHeight="1" x14ac:dyDescent="0.25">
      <c r="A129" s="32" t="s">
        <v>548</v>
      </c>
      <c r="B129" s="32" t="s">
        <v>205</v>
      </c>
      <c r="C129" s="32" t="s">
        <v>584</v>
      </c>
      <c r="D129" s="32" t="s">
        <v>584</v>
      </c>
      <c r="E129" s="48" t="s">
        <v>26</v>
      </c>
      <c r="F129" s="33" t="s">
        <v>31</v>
      </c>
      <c r="G129" s="34" t="s">
        <v>600</v>
      </c>
      <c r="H129" s="34">
        <v>25</v>
      </c>
      <c r="I129" s="34" t="s">
        <v>591</v>
      </c>
      <c r="J129" s="35">
        <v>44658</v>
      </c>
      <c r="K129" s="36">
        <v>44722</v>
      </c>
      <c r="L129" s="34" t="s">
        <v>66</v>
      </c>
      <c r="M129" s="36">
        <v>44733</v>
      </c>
      <c r="N129" s="37">
        <f t="shared" si="22"/>
        <v>11</v>
      </c>
      <c r="O129" s="34">
        <v>1</v>
      </c>
      <c r="P129" s="97"/>
      <c r="Q129" s="244" t="s">
        <v>588</v>
      </c>
      <c r="R129" s="244" t="s">
        <v>588</v>
      </c>
      <c r="S129" s="244">
        <f t="shared" si="19"/>
        <v>3.6989700043360187</v>
      </c>
      <c r="T129" s="34">
        <v>5000</v>
      </c>
      <c r="U129" s="34">
        <f t="shared" si="20"/>
        <v>3.6989700043360187</v>
      </c>
      <c r="V129" s="40">
        <v>16</v>
      </c>
      <c r="W129" s="53">
        <v>0</v>
      </c>
      <c r="X129" s="53">
        <v>0</v>
      </c>
      <c r="Y129" s="40">
        <v>0</v>
      </c>
      <c r="Z129" s="43">
        <v>3114.7359999999999</v>
      </c>
      <c r="AA129" s="43">
        <f t="shared" si="23"/>
        <v>3.4934212424552147</v>
      </c>
      <c r="AB129" s="43">
        <v>6.4309150832017696</v>
      </c>
      <c r="AC129" s="43">
        <f t="shared" si="27"/>
        <v>0.80827277499399863</v>
      </c>
      <c r="AD129" s="39">
        <v>68.616169999999997</v>
      </c>
      <c r="AE129" s="39">
        <f t="shared" si="24"/>
        <v>1.8364264730572721</v>
      </c>
      <c r="AF129" s="45">
        <v>0</v>
      </c>
      <c r="AG129" s="43">
        <v>0</v>
      </c>
      <c r="AH129" s="43">
        <v>0</v>
      </c>
      <c r="AI129" s="39">
        <v>0</v>
      </c>
      <c r="AJ129" s="40" t="s">
        <v>60</v>
      </c>
      <c r="AK129" s="40">
        <v>6</v>
      </c>
      <c r="AL129" s="40" t="s">
        <v>30</v>
      </c>
      <c r="AM129" s="47"/>
      <c r="AN129" s="53" t="s">
        <v>548</v>
      </c>
      <c r="AO129" s="53">
        <v>0</v>
      </c>
      <c r="AP129" s="53">
        <v>1</v>
      </c>
    </row>
    <row r="130" spans="1:42" ht="15" customHeight="1" x14ac:dyDescent="0.25">
      <c r="A130" s="32" t="s">
        <v>549</v>
      </c>
      <c r="B130" s="32" t="s">
        <v>205</v>
      </c>
      <c r="C130" s="32" t="s">
        <v>584</v>
      </c>
      <c r="D130" s="32" t="s">
        <v>584</v>
      </c>
      <c r="E130" s="48" t="s">
        <v>26</v>
      </c>
      <c r="F130" s="48" t="s">
        <v>26</v>
      </c>
      <c r="G130" s="34" t="s">
        <v>600</v>
      </c>
      <c r="H130" s="34">
        <v>29</v>
      </c>
      <c r="I130" s="34" t="s">
        <v>591</v>
      </c>
      <c r="J130" s="35">
        <v>44658</v>
      </c>
      <c r="K130" s="36">
        <v>44722</v>
      </c>
      <c r="L130" s="34" t="s">
        <v>66</v>
      </c>
      <c r="M130" s="36">
        <v>44733</v>
      </c>
      <c r="N130" s="37">
        <f t="shared" si="22"/>
        <v>11</v>
      </c>
      <c r="O130" s="34">
        <v>1</v>
      </c>
      <c r="P130" s="97"/>
      <c r="Q130" s="244" t="s">
        <v>81</v>
      </c>
      <c r="R130" s="244" t="s">
        <v>81</v>
      </c>
      <c r="S130" s="244">
        <f t="shared" si="19"/>
        <v>3.6989700043360187</v>
      </c>
      <c r="T130" s="34">
        <v>5000</v>
      </c>
      <c r="U130" s="34">
        <f>LOG10(T130)</f>
        <v>3.6989700043360187</v>
      </c>
      <c r="V130" s="40">
        <v>17</v>
      </c>
      <c r="W130" s="53">
        <v>0</v>
      </c>
      <c r="X130" s="53">
        <v>0</v>
      </c>
      <c r="Y130" s="40">
        <v>0</v>
      </c>
      <c r="Z130" s="43">
        <v>1495.3308</v>
      </c>
      <c r="AA130" s="43">
        <f t="shared" si="23"/>
        <v>3.1747372787624943</v>
      </c>
      <c r="AB130" s="43">
        <v>5.4655288807240598</v>
      </c>
      <c r="AC130" s="43">
        <f t="shared" si="27"/>
        <v>0.73763219352570786</v>
      </c>
      <c r="AD130" s="39">
        <v>387.67469999999997</v>
      </c>
      <c r="AE130" s="39">
        <f t="shared" si="24"/>
        <v>2.5884674594830512</v>
      </c>
      <c r="AF130" s="45">
        <v>0</v>
      </c>
      <c r="AG130" s="43">
        <v>0</v>
      </c>
      <c r="AH130" s="43">
        <v>0</v>
      </c>
      <c r="AI130" s="39">
        <v>0</v>
      </c>
      <c r="AJ130" s="40" t="s">
        <v>60</v>
      </c>
      <c r="AK130" s="40">
        <v>6</v>
      </c>
      <c r="AL130" s="40" t="s">
        <v>30</v>
      </c>
      <c r="AM130" s="47"/>
      <c r="AN130" s="53" t="s">
        <v>549</v>
      </c>
      <c r="AO130" s="53">
        <v>0</v>
      </c>
      <c r="AP130" s="53">
        <v>0</v>
      </c>
    </row>
    <row r="131" spans="1:42" ht="15" customHeight="1" x14ac:dyDescent="0.25">
      <c r="A131" s="32" t="s">
        <v>550</v>
      </c>
      <c r="B131" s="32" t="s">
        <v>205</v>
      </c>
      <c r="C131" s="32" t="s">
        <v>584</v>
      </c>
      <c r="D131" s="32" t="s">
        <v>584</v>
      </c>
      <c r="E131" s="48" t="s">
        <v>26</v>
      </c>
      <c r="F131" s="33" t="s">
        <v>31</v>
      </c>
      <c r="G131" s="34" t="s">
        <v>600</v>
      </c>
      <c r="H131" s="34">
        <v>38</v>
      </c>
      <c r="I131" s="34" t="s">
        <v>591</v>
      </c>
      <c r="J131" s="35">
        <v>44658</v>
      </c>
      <c r="K131" s="36">
        <v>44721</v>
      </c>
      <c r="L131" s="34" t="s">
        <v>66</v>
      </c>
      <c r="M131" s="36">
        <v>44733</v>
      </c>
      <c r="N131" s="37">
        <f t="shared" si="22"/>
        <v>12</v>
      </c>
      <c r="O131" s="34">
        <v>1</v>
      </c>
      <c r="P131" s="97"/>
      <c r="Q131" s="244" t="s">
        <v>588</v>
      </c>
      <c r="R131" s="244" t="s">
        <v>588</v>
      </c>
      <c r="S131" s="244">
        <f t="shared" ref="S131:S134" si="29">LOG10(T131)</f>
        <v>3.6989700043360187</v>
      </c>
      <c r="T131" s="34">
        <v>5000</v>
      </c>
      <c r="U131" s="34">
        <f t="shared" ref="U131:U134" si="30">LOG10(T131)</f>
        <v>3.6989700043360187</v>
      </c>
      <c r="V131" s="40">
        <v>5</v>
      </c>
      <c r="W131" s="53">
        <v>0</v>
      </c>
      <c r="X131" s="53">
        <v>0</v>
      </c>
      <c r="Y131" s="40">
        <v>1</v>
      </c>
      <c r="Z131" s="43">
        <v>1041259.6</v>
      </c>
      <c r="AA131" s="43">
        <f t="shared" si="23"/>
        <v>6.0175590184559553</v>
      </c>
      <c r="AB131" s="43">
        <v>6.6669277461982199</v>
      </c>
      <c r="AC131" s="43">
        <f t="shared" si="27"/>
        <v>0.82392574842128186</v>
      </c>
      <c r="AD131" s="39">
        <v>387.67469999999997</v>
      </c>
      <c r="AE131" s="39">
        <f t="shared" si="24"/>
        <v>2.5884674594830512</v>
      </c>
      <c r="AF131" s="45">
        <v>0</v>
      </c>
      <c r="AG131" s="43">
        <v>0</v>
      </c>
      <c r="AH131" s="43">
        <v>0</v>
      </c>
      <c r="AI131" s="39">
        <v>0</v>
      </c>
      <c r="AJ131" s="40" t="s">
        <v>60</v>
      </c>
      <c r="AK131" s="40">
        <v>6</v>
      </c>
      <c r="AL131" s="40" t="s">
        <v>30</v>
      </c>
      <c r="AM131" s="47"/>
      <c r="AN131" s="53" t="s">
        <v>550</v>
      </c>
      <c r="AO131" s="53">
        <v>0</v>
      </c>
      <c r="AP131" s="53">
        <v>1</v>
      </c>
    </row>
    <row r="132" spans="1:42" ht="15" customHeight="1" thickBot="1" x14ac:dyDescent="0.3">
      <c r="A132" s="103" t="s">
        <v>551</v>
      </c>
      <c r="B132" s="103" t="s">
        <v>205</v>
      </c>
      <c r="C132" s="103" t="s">
        <v>584</v>
      </c>
      <c r="D132" s="103" t="s">
        <v>584</v>
      </c>
      <c r="E132" s="141" t="s">
        <v>26</v>
      </c>
      <c r="F132" s="141" t="s">
        <v>26</v>
      </c>
      <c r="G132" s="105" t="s">
        <v>600</v>
      </c>
      <c r="H132" s="105">
        <v>23</v>
      </c>
      <c r="I132" s="105" t="s">
        <v>591</v>
      </c>
      <c r="J132" s="106">
        <v>44658</v>
      </c>
      <c r="K132" s="107">
        <v>44721</v>
      </c>
      <c r="L132" s="105" t="s">
        <v>66</v>
      </c>
      <c r="M132" s="107">
        <v>44733</v>
      </c>
      <c r="N132" s="109">
        <f t="shared" si="22"/>
        <v>12</v>
      </c>
      <c r="O132" s="105">
        <v>1</v>
      </c>
      <c r="P132" s="234"/>
      <c r="Q132" s="257" t="s">
        <v>81</v>
      </c>
      <c r="R132" s="257" t="s">
        <v>81</v>
      </c>
      <c r="S132" s="257">
        <f t="shared" si="29"/>
        <v>3.6989700043360187</v>
      </c>
      <c r="T132" s="105">
        <v>5000</v>
      </c>
      <c r="U132" s="105">
        <f t="shared" si="30"/>
        <v>3.6989700043360187</v>
      </c>
      <c r="V132" s="145">
        <v>10</v>
      </c>
      <c r="W132" s="142">
        <v>0</v>
      </c>
      <c r="X132" s="142">
        <v>0</v>
      </c>
      <c r="Y132" s="145">
        <v>0</v>
      </c>
      <c r="Z132" s="75">
        <v>86862.739999999991</v>
      </c>
      <c r="AA132" s="75">
        <f t="shared" si="23"/>
        <v>4.938833524636066</v>
      </c>
      <c r="AB132" s="75">
        <v>6.4815842169535296</v>
      </c>
      <c r="AC132" s="75">
        <f t="shared" si="27"/>
        <v>0.811681168307679</v>
      </c>
      <c r="AD132" s="258">
        <v>667.54470000000003</v>
      </c>
      <c r="AE132" s="258">
        <f t="shared" si="24"/>
        <v>2.8244803521540107</v>
      </c>
      <c r="AF132" s="72">
        <v>0</v>
      </c>
      <c r="AG132" s="75">
        <v>0</v>
      </c>
      <c r="AH132" s="73">
        <v>0</v>
      </c>
      <c r="AI132" s="75">
        <v>0</v>
      </c>
      <c r="AJ132" s="145" t="s">
        <v>60</v>
      </c>
      <c r="AK132" s="145">
        <v>6</v>
      </c>
      <c r="AL132" s="145" t="s">
        <v>30</v>
      </c>
      <c r="AM132" s="237"/>
      <c r="AN132" s="142" t="s">
        <v>551</v>
      </c>
      <c r="AO132" s="142">
        <v>0</v>
      </c>
      <c r="AP132" s="142">
        <v>0</v>
      </c>
    </row>
    <row r="133" spans="1:42" ht="15" customHeight="1" thickTop="1" thickBot="1" x14ac:dyDescent="0.3">
      <c r="A133" s="188" t="s">
        <v>553</v>
      </c>
      <c r="B133" s="188" t="s">
        <v>552</v>
      </c>
      <c r="C133" s="188" t="s">
        <v>589</v>
      </c>
      <c r="D133" s="188" t="s">
        <v>589</v>
      </c>
      <c r="E133" s="189" t="s">
        <v>31</v>
      </c>
      <c r="F133" s="189" t="s">
        <v>31</v>
      </c>
      <c r="G133" s="191" t="s">
        <v>600</v>
      </c>
      <c r="H133" s="191">
        <v>10</v>
      </c>
      <c r="I133" s="191" t="s">
        <v>586</v>
      </c>
      <c r="J133" s="192">
        <v>44771</v>
      </c>
      <c r="K133" s="192">
        <v>44782</v>
      </c>
      <c r="L133" s="191" t="s">
        <v>66</v>
      </c>
      <c r="M133" s="192">
        <v>44797</v>
      </c>
      <c r="N133" s="193">
        <f t="shared" si="22"/>
        <v>15</v>
      </c>
      <c r="O133" s="191">
        <v>1</v>
      </c>
      <c r="P133" s="194"/>
      <c r="Q133" s="259"/>
      <c r="R133" s="259"/>
      <c r="S133" s="259"/>
      <c r="T133" s="259"/>
      <c r="U133" s="259"/>
      <c r="V133" s="191">
        <v>8</v>
      </c>
      <c r="W133" s="191">
        <v>2</v>
      </c>
      <c r="X133" s="191">
        <v>2</v>
      </c>
      <c r="Y133" s="259"/>
      <c r="Z133" s="259"/>
      <c r="AA133" s="259"/>
      <c r="AB133" s="259"/>
      <c r="AC133" s="75"/>
      <c r="AD133" s="259"/>
      <c r="AE133" s="259"/>
      <c r="AF133" s="259"/>
      <c r="AG133" s="259"/>
      <c r="AH133" s="259"/>
      <c r="AI133" s="259"/>
      <c r="AJ133" s="191" t="s">
        <v>60</v>
      </c>
      <c r="AK133" s="259"/>
      <c r="AL133" s="259"/>
      <c r="AM133" s="260" t="s">
        <v>654</v>
      </c>
      <c r="AN133" s="191" t="s">
        <v>553</v>
      </c>
      <c r="AO133" s="191">
        <v>4</v>
      </c>
      <c r="AP133" s="191">
        <v>1</v>
      </c>
    </row>
    <row r="134" spans="1:42" ht="15" customHeight="1" thickTop="1" thickBot="1" x14ac:dyDescent="0.3">
      <c r="A134" s="220" t="s">
        <v>655</v>
      </c>
      <c r="B134" s="220" t="s">
        <v>89</v>
      </c>
      <c r="C134" s="220" t="s">
        <v>584</v>
      </c>
      <c r="D134" s="220" t="s">
        <v>584</v>
      </c>
      <c r="E134" s="221" t="s">
        <v>26</v>
      </c>
      <c r="F134" s="221" t="s">
        <v>26</v>
      </c>
      <c r="G134" s="215" t="s">
        <v>61</v>
      </c>
      <c r="H134" s="215">
        <v>20</v>
      </c>
      <c r="I134" s="215" t="s">
        <v>586</v>
      </c>
      <c r="J134" s="223">
        <v>44610</v>
      </c>
      <c r="K134" s="223">
        <v>44622</v>
      </c>
      <c r="L134" s="215" t="s">
        <v>66</v>
      </c>
      <c r="M134" s="223">
        <v>44628</v>
      </c>
      <c r="N134" s="224">
        <f t="shared" si="22"/>
        <v>6</v>
      </c>
      <c r="O134" s="215">
        <v>1</v>
      </c>
      <c r="P134" s="215" t="s">
        <v>612</v>
      </c>
      <c r="Q134" s="169" t="s">
        <v>656</v>
      </c>
      <c r="R134" s="169" t="s">
        <v>81</v>
      </c>
      <c r="S134" s="169">
        <f t="shared" si="29"/>
        <v>4.9030899869919438</v>
      </c>
      <c r="T134" s="261">
        <v>80000</v>
      </c>
      <c r="U134" s="261">
        <f t="shared" si="30"/>
        <v>4.9030899869919438</v>
      </c>
      <c r="V134" s="226">
        <v>18</v>
      </c>
      <c r="W134" s="227">
        <v>0</v>
      </c>
      <c r="X134" s="227">
        <v>0</v>
      </c>
      <c r="Y134" s="226">
        <v>0</v>
      </c>
      <c r="Z134" s="228">
        <v>62232.785121239867</v>
      </c>
      <c r="AA134" s="228">
        <f t="shared" si="23"/>
        <v>4.7940192375218249</v>
      </c>
      <c r="AB134" s="262"/>
      <c r="AC134" s="75"/>
      <c r="AD134" s="263">
        <v>2270.1672776415598</v>
      </c>
      <c r="AE134" s="263">
        <f t="shared" si="24"/>
        <v>3.3560578594310426</v>
      </c>
      <c r="AF134" s="226">
        <v>0</v>
      </c>
      <c r="AG134" s="226">
        <v>0</v>
      </c>
      <c r="AH134" s="264"/>
      <c r="AI134" s="264"/>
      <c r="AJ134" s="226" t="s">
        <v>60</v>
      </c>
      <c r="AK134" s="227">
        <v>14</v>
      </c>
      <c r="AL134" s="226" t="s">
        <v>30</v>
      </c>
      <c r="AM134" s="265"/>
      <c r="AN134" s="226" t="s">
        <v>655</v>
      </c>
      <c r="AO134" s="226">
        <v>0</v>
      </c>
      <c r="AP134" s="226">
        <v>0</v>
      </c>
    </row>
    <row r="135" spans="1:42" ht="15" customHeight="1" thickTop="1" thickBot="1" x14ac:dyDescent="0.3">
      <c r="A135" s="188" t="s">
        <v>556</v>
      </c>
      <c r="B135" s="188" t="s">
        <v>555</v>
      </c>
      <c r="C135" s="188" t="s">
        <v>589</v>
      </c>
      <c r="D135" s="188" t="s">
        <v>589</v>
      </c>
      <c r="E135" s="189" t="s">
        <v>31</v>
      </c>
      <c r="F135" s="189" t="s">
        <v>31</v>
      </c>
      <c r="G135" s="196" t="s">
        <v>61</v>
      </c>
      <c r="H135" s="196">
        <v>26</v>
      </c>
      <c r="I135" s="196" t="s">
        <v>586</v>
      </c>
      <c r="J135" s="266">
        <v>45009</v>
      </c>
      <c r="K135" s="266">
        <v>45013</v>
      </c>
      <c r="L135" s="196" t="s">
        <v>66</v>
      </c>
      <c r="M135" s="266">
        <v>45030</v>
      </c>
      <c r="N135" s="193">
        <f t="shared" si="22"/>
        <v>17</v>
      </c>
      <c r="O135" s="196">
        <v>1</v>
      </c>
      <c r="P135" s="267"/>
      <c r="Q135" s="196" t="s">
        <v>657</v>
      </c>
      <c r="R135" s="196" t="s">
        <v>588</v>
      </c>
      <c r="S135" s="191"/>
      <c r="T135" s="195"/>
      <c r="U135" s="195"/>
      <c r="V135" s="196">
        <v>10</v>
      </c>
      <c r="W135" s="191">
        <v>2</v>
      </c>
      <c r="X135" s="191">
        <v>2</v>
      </c>
      <c r="Y135" s="198"/>
      <c r="Z135" s="268">
        <v>320792.64</v>
      </c>
      <c r="AA135" s="268">
        <f t="shared" si="23"/>
        <v>5.5062243956344004</v>
      </c>
      <c r="AB135" s="269"/>
      <c r="AC135" s="75"/>
      <c r="AD135" s="268">
        <v>38280000000</v>
      </c>
      <c r="AE135" s="268">
        <f t="shared" si="24"/>
        <v>10.582971929104806</v>
      </c>
      <c r="AF135" s="270"/>
      <c r="AG135" s="270"/>
      <c r="AH135" s="270"/>
      <c r="AI135" s="270"/>
      <c r="AJ135" s="191" t="s">
        <v>29</v>
      </c>
      <c r="AK135" s="196">
        <v>5</v>
      </c>
      <c r="AL135" s="198"/>
      <c r="AM135" s="200"/>
      <c r="AN135" s="196" t="s">
        <v>556</v>
      </c>
      <c r="AO135" s="196">
        <v>5</v>
      </c>
      <c r="AP135" s="196">
        <v>3</v>
      </c>
    </row>
    <row r="136" spans="1:42" ht="15.75" thickTop="1" x14ac:dyDescent="0.25"/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74F4-4513-491C-AEC8-03697BD6FF72}">
  <dimension ref="A1:AP114"/>
  <sheetViews>
    <sheetView topLeftCell="P1" zoomScale="85" zoomScaleNormal="85" workbookViewId="0">
      <selection activeCell="AS6" sqref="AS6"/>
    </sheetView>
  </sheetViews>
  <sheetFormatPr defaultColWidth="8.7109375" defaultRowHeight="15" customHeight="1" x14ac:dyDescent="0.25"/>
  <cols>
    <col min="1" max="1" width="17.42578125" bestFit="1" customWidth="1"/>
    <col min="2" max="2" width="9.42578125" bestFit="1" customWidth="1"/>
    <col min="3" max="4" width="9" bestFit="1" customWidth="1"/>
    <col min="5" max="6" width="8.5703125" bestFit="1" customWidth="1"/>
    <col min="7" max="7" width="5.85546875" bestFit="1" customWidth="1"/>
    <col min="8" max="8" width="10.28515625" bestFit="1" customWidth="1"/>
    <col min="9" max="9" width="23.7109375" customWidth="1"/>
    <col min="10" max="11" width="10.5703125" bestFit="1" customWidth="1"/>
    <col min="12" max="12" width="6.140625" bestFit="1" customWidth="1"/>
    <col min="13" max="13" width="10.5703125" bestFit="1" customWidth="1"/>
    <col min="14" max="14" width="9.5703125" bestFit="1" customWidth="1"/>
    <col min="15" max="15" width="8.140625" bestFit="1" customWidth="1"/>
    <col min="16" max="16" width="43.28515625" bestFit="1" customWidth="1"/>
    <col min="17" max="17" width="15.28515625" bestFit="1" customWidth="1"/>
    <col min="18" max="18" width="8.28515625" bestFit="1" customWidth="1"/>
    <col min="19" max="19" width="12.42578125" bestFit="1" customWidth="1"/>
    <col min="20" max="20" width="9.7109375" bestFit="1" customWidth="1"/>
    <col min="21" max="21" width="12.42578125" bestFit="1" customWidth="1"/>
    <col min="22" max="22" width="8.5703125" bestFit="1" customWidth="1"/>
    <col min="23" max="23" width="10.42578125" bestFit="1" customWidth="1"/>
    <col min="24" max="24" width="80.28515625" bestFit="1" customWidth="1"/>
    <col min="25" max="25" width="12.42578125" bestFit="1" customWidth="1"/>
    <col min="26" max="26" width="12.42578125" style="432" bestFit="1" customWidth="1"/>
    <col min="27" max="28" width="12.42578125" bestFit="1" customWidth="1"/>
    <col min="29" max="29" width="37.7109375" customWidth="1"/>
    <col min="30" max="31" width="12.42578125" bestFit="1" customWidth="1"/>
    <col min="32" max="32" width="13" bestFit="1" customWidth="1"/>
    <col min="33" max="34" width="12.42578125" bestFit="1" customWidth="1"/>
    <col min="35" max="35" width="11.7109375" bestFit="1" customWidth="1"/>
    <col min="36" max="36" width="22.7109375" customWidth="1"/>
    <col min="37" max="37" width="8.5703125" bestFit="1" customWidth="1"/>
    <col min="38" max="38" width="49.140625" bestFit="1" customWidth="1"/>
    <col min="39" max="39" width="17.42578125" bestFit="1" customWidth="1"/>
    <col min="40" max="41" width="8.85546875" bestFit="1" customWidth="1"/>
    <col min="42" max="42" width="8.42578125" bestFit="1" customWidth="1"/>
  </cols>
  <sheetData>
    <row r="1" spans="1:42" ht="90" x14ac:dyDescent="0.25">
      <c r="A1" s="7" t="s">
        <v>0</v>
      </c>
      <c r="B1" s="7" t="s">
        <v>1</v>
      </c>
      <c r="C1" s="7" t="s">
        <v>558</v>
      </c>
      <c r="D1" s="7" t="s">
        <v>559</v>
      </c>
      <c r="E1" s="8" t="s">
        <v>428</v>
      </c>
      <c r="F1" s="8" t="s">
        <v>429</v>
      </c>
      <c r="G1" s="335" t="s">
        <v>560</v>
      </c>
      <c r="H1" s="336" t="s">
        <v>561</v>
      </c>
      <c r="I1" s="335" t="s">
        <v>562</v>
      </c>
      <c r="J1" s="336" t="s">
        <v>563</v>
      </c>
      <c r="K1" s="336" t="s">
        <v>564</v>
      </c>
      <c r="L1" s="336" t="s">
        <v>565</v>
      </c>
      <c r="M1" s="336" t="s">
        <v>566</v>
      </c>
      <c r="N1" s="336" t="s">
        <v>567</v>
      </c>
      <c r="O1" s="336" t="s">
        <v>568</v>
      </c>
      <c r="P1" s="11" t="s">
        <v>569</v>
      </c>
      <c r="Q1" s="337" t="s">
        <v>11</v>
      </c>
      <c r="R1" s="337" t="s">
        <v>570</v>
      </c>
      <c r="S1" s="337" t="s">
        <v>571</v>
      </c>
      <c r="T1" s="337" t="s">
        <v>12</v>
      </c>
      <c r="U1" s="337" t="s">
        <v>571</v>
      </c>
      <c r="V1" s="13" t="s">
        <v>572</v>
      </c>
      <c r="W1" s="13" t="s">
        <v>573</v>
      </c>
      <c r="X1" s="338" t="s">
        <v>658</v>
      </c>
      <c r="Y1" s="14" t="s">
        <v>14</v>
      </c>
      <c r="Z1" s="404" t="s">
        <v>575</v>
      </c>
      <c r="AA1" s="14" t="s">
        <v>15</v>
      </c>
      <c r="AB1" s="14" t="s">
        <v>659</v>
      </c>
      <c r="AC1" s="13" t="s">
        <v>576</v>
      </c>
      <c r="AD1" s="13" t="s">
        <v>577</v>
      </c>
      <c r="AE1" s="13" t="s">
        <v>578</v>
      </c>
      <c r="AF1" s="13" t="s">
        <v>579</v>
      </c>
      <c r="AG1" s="13" t="s">
        <v>580</v>
      </c>
      <c r="AH1" s="13" t="s">
        <v>581</v>
      </c>
      <c r="AI1" s="12" t="s">
        <v>17</v>
      </c>
      <c r="AJ1" s="12" t="s">
        <v>18</v>
      </c>
      <c r="AK1" s="337" t="s">
        <v>20</v>
      </c>
      <c r="AL1" s="337" t="s">
        <v>582</v>
      </c>
      <c r="AM1" s="337" t="s">
        <v>398</v>
      </c>
      <c r="AN1" s="12" t="s">
        <v>399</v>
      </c>
      <c r="AO1" s="12" t="s">
        <v>583</v>
      </c>
      <c r="AP1" s="282" t="s">
        <v>413</v>
      </c>
    </row>
    <row r="2" spans="1:42" ht="15" customHeight="1" x14ac:dyDescent="0.25">
      <c r="A2" s="15" t="s">
        <v>435</v>
      </c>
      <c r="B2" s="15" t="s">
        <v>147</v>
      </c>
      <c r="C2" s="15" t="s">
        <v>589</v>
      </c>
      <c r="D2" s="15" t="s">
        <v>584</v>
      </c>
      <c r="E2" s="17" t="s">
        <v>31</v>
      </c>
      <c r="F2" s="17" t="s">
        <v>31</v>
      </c>
      <c r="G2" s="18" t="s">
        <v>600</v>
      </c>
      <c r="H2" s="18" t="s">
        <v>596</v>
      </c>
      <c r="I2" s="18" t="s">
        <v>597</v>
      </c>
      <c r="J2" s="19">
        <v>44461</v>
      </c>
      <c r="K2" s="20">
        <v>44468</v>
      </c>
      <c r="L2" s="346" t="s">
        <v>66</v>
      </c>
      <c r="M2" s="20">
        <v>44504</v>
      </c>
      <c r="N2" s="21">
        <f t="shared" ref="N2:N33" si="0">_xlfn.DAYS(M2,K2)</f>
        <v>36</v>
      </c>
      <c r="O2" s="18">
        <v>1</v>
      </c>
      <c r="P2" s="348"/>
      <c r="Q2" s="352" t="s">
        <v>587</v>
      </c>
      <c r="R2" s="352" t="s">
        <v>588</v>
      </c>
      <c r="S2" s="355">
        <f t="shared" ref="S2:S33" si="1">LOG10(T2)</f>
        <v>3.6989700043360187</v>
      </c>
      <c r="T2" s="120">
        <v>5000</v>
      </c>
      <c r="U2" s="120">
        <f t="shared" ref="U2:U33" si="2">LOG10(T2)</f>
        <v>3.6989700043360187</v>
      </c>
      <c r="V2" s="119">
        <v>13</v>
      </c>
      <c r="W2" s="148">
        <v>2</v>
      </c>
      <c r="X2" s="148" t="s">
        <v>601</v>
      </c>
      <c r="Y2" s="173"/>
      <c r="Z2" s="405"/>
      <c r="AA2" s="173"/>
      <c r="AB2" s="173"/>
      <c r="AC2" s="173"/>
      <c r="AD2" s="173"/>
      <c r="AE2" s="173"/>
      <c r="AF2" s="173"/>
      <c r="AG2" s="119">
        <v>0</v>
      </c>
      <c r="AH2" s="394">
        <v>0</v>
      </c>
      <c r="AI2" s="18" t="s">
        <v>60</v>
      </c>
      <c r="AJ2" s="402" t="s">
        <v>602</v>
      </c>
      <c r="AK2" s="18" t="s">
        <v>30</v>
      </c>
      <c r="AL2" s="202" t="s">
        <v>603</v>
      </c>
      <c r="AM2" s="18" t="s">
        <v>435</v>
      </c>
      <c r="AN2" s="18">
        <v>4</v>
      </c>
      <c r="AO2" s="18">
        <v>2</v>
      </c>
      <c r="AP2" s="18">
        <f t="shared" ref="AP2:AP12" si="3">SUM(AM2,AO2)</f>
        <v>2</v>
      </c>
    </row>
    <row r="3" spans="1:42" ht="15" customHeight="1" x14ac:dyDescent="0.25">
      <c r="A3" s="32" t="s">
        <v>438</v>
      </c>
      <c r="B3" s="32" t="s">
        <v>147</v>
      </c>
      <c r="C3" s="32" t="s">
        <v>589</v>
      </c>
      <c r="D3" s="32" t="s">
        <v>584</v>
      </c>
      <c r="E3" s="33" t="s">
        <v>31</v>
      </c>
      <c r="F3" s="33" t="s">
        <v>31</v>
      </c>
      <c r="G3" s="34" t="s">
        <v>600</v>
      </c>
      <c r="H3" s="34" t="s">
        <v>596</v>
      </c>
      <c r="I3" s="34" t="s">
        <v>597</v>
      </c>
      <c r="J3" s="35">
        <v>44461</v>
      </c>
      <c r="K3" s="36">
        <v>44468</v>
      </c>
      <c r="L3" s="96" t="s">
        <v>66</v>
      </c>
      <c r="M3" s="36">
        <v>44504</v>
      </c>
      <c r="N3" s="37">
        <f t="shared" si="0"/>
        <v>36</v>
      </c>
      <c r="O3" s="34">
        <v>1</v>
      </c>
      <c r="P3" s="97"/>
      <c r="Q3" s="98" t="s">
        <v>587</v>
      </c>
      <c r="R3" s="98" t="s">
        <v>588</v>
      </c>
      <c r="S3" s="99">
        <f t="shared" si="1"/>
        <v>3.6989700043360187</v>
      </c>
      <c r="T3" s="55">
        <v>5000</v>
      </c>
      <c r="U3" s="55">
        <f t="shared" si="2"/>
        <v>3.6989700043360187</v>
      </c>
      <c r="V3" s="49">
        <v>12</v>
      </c>
      <c r="W3" s="49">
        <v>2</v>
      </c>
      <c r="X3" s="49" t="s">
        <v>607</v>
      </c>
      <c r="Y3" s="49">
        <v>8.0265818103788504</v>
      </c>
      <c r="Z3" s="51">
        <f>LOG10(Y3)</f>
        <v>0.90453063656890431</v>
      </c>
      <c r="AA3" s="49">
        <v>10.308934885532</v>
      </c>
      <c r="AB3" s="100">
        <f>LOG10(AA3)</f>
        <v>1.0132137964928611</v>
      </c>
      <c r="AC3" s="101"/>
      <c r="AD3" s="101"/>
      <c r="AE3" s="101"/>
      <c r="AF3" s="101"/>
      <c r="AG3" s="101"/>
      <c r="AH3" s="101"/>
      <c r="AI3" s="34" t="s">
        <v>60</v>
      </c>
      <c r="AJ3" s="403" t="s">
        <v>602</v>
      </c>
      <c r="AK3" s="34" t="s">
        <v>30</v>
      </c>
      <c r="AL3" s="52"/>
      <c r="AM3" s="34" t="s">
        <v>438</v>
      </c>
      <c r="AN3" s="34">
        <v>5</v>
      </c>
      <c r="AO3" s="34">
        <v>3</v>
      </c>
      <c r="AP3" s="34">
        <f t="shared" si="3"/>
        <v>3</v>
      </c>
    </row>
    <row r="4" spans="1:42" ht="15" customHeight="1" x14ac:dyDescent="0.25">
      <c r="A4" s="32" t="s">
        <v>440</v>
      </c>
      <c r="B4" s="32" t="s">
        <v>147</v>
      </c>
      <c r="C4" s="32" t="s">
        <v>589</v>
      </c>
      <c r="D4" s="32" t="s">
        <v>584</v>
      </c>
      <c r="E4" s="33" t="s">
        <v>31</v>
      </c>
      <c r="F4" s="33" t="s">
        <v>31</v>
      </c>
      <c r="G4" s="34" t="s">
        <v>600</v>
      </c>
      <c r="H4" s="34" t="s">
        <v>596</v>
      </c>
      <c r="I4" s="34" t="s">
        <v>597</v>
      </c>
      <c r="J4" s="35">
        <v>44461</v>
      </c>
      <c r="K4" s="36">
        <v>44468</v>
      </c>
      <c r="L4" s="96" t="s">
        <v>66</v>
      </c>
      <c r="M4" s="36">
        <v>44504</v>
      </c>
      <c r="N4" s="37">
        <f t="shared" si="0"/>
        <v>36</v>
      </c>
      <c r="O4" s="34">
        <v>1</v>
      </c>
      <c r="P4" s="97"/>
      <c r="Q4" s="98" t="s">
        <v>587</v>
      </c>
      <c r="R4" s="98" t="s">
        <v>588</v>
      </c>
      <c r="S4" s="99">
        <f t="shared" si="1"/>
        <v>3.6989700043360187</v>
      </c>
      <c r="T4" s="55">
        <v>5000</v>
      </c>
      <c r="U4" s="55">
        <f t="shared" si="2"/>
        <v>3.6989700043360187</v>
      </c>
      <c r="V4" s="49">
        <v>0</v>
      </c>
      <c r="W4" s="41">
        <v>3</v>
      </c>
      <c r="X4" s="41" t="s">
        <v>608</v>
      </c>
      <c r="Y4" s="101"/>
      <c r="Z4" s="406"/>
      <c r="AA4" s="101"/>
      <c r="AB4" s="101"/>
      <c r="AC4" s="101"/>
      <c r="AD4" s="101"/>
      <c r="AE4" s="101"/>
      <c r="AF4" s="101"/>
      <c r="AG4" s="49">
        <v>0</v>
      </c>
      <c r="AH4" s="49">
        <v>0</v>
      </c>
      <c r="AI4" s="34" t="s">
        <v>60</v>
      </c>
      <c r="AJ4" s="403" t="s">
        <v>602</v>
      </c>
      <c r="AK4" s="34" t="s">
        <v>30</v>
      </c>
      <c r="AL4" s="52"/>
      <c r="AM4" s="34" t="s">
        <v>440</v>
      </c>
      <c r="AN4" s="34">
        <v>4</v>
      </c>
      <c r="AO4" s="34">
        <v>1</v>
      </c>
      <c r="AP4" s="34">
        <f t="shared" si="3"/>
        <v>1</v>
      </c>
    </row>
    <row r="5" spans="1:42" ht="15" customHeight="1" x14ac:dyDescent="0.25">
      <c r="A5" s="32" t="s">
        <v>442</v>
      </c>
      <c r="B5" s="32" t="s">
        <v>147</v>
      </c>
      <c r="C5" s="32" t="s">
        <v>589</v>
      </c>
      <c r="D5" s="32" t="s">
        <v>584</v>
      </c>
      <c r="E5" s="33" t="s">
        <v>31</v>
      </c>
      <c r="F5" s="33" t="s">
        <v>31</v>
      </c>
      <c r="G5" s="34" t="s">
        <v>600</v>
      </c>
      <c r="H5" s="34" t="s">
        <v>596</v>
      </c>
      <c r="I5" s="34" t="s">
        <v>597</v>
      </c>
      <c r="J5" s="35">
        <v>44461</v>
      </c>
      <c r="K5" s="36">
        <v>44468</v>
      </c>
      <c r="L5" s="96" t="s">
        <v>66</v>
      </c>
      <c r="M5" s="36">
        <v>44504</v>
      </c>
      <c r="N5" s="37">
        <f t="shared" si="0"/>
        <v>36</v>
      </c>
      <c r="O5" s="34">
        <v>1</v>
      </c>
      <c r="P5" s="97"/>
      <c r="Q5" s="98" t="s">
        <v>587</v>
      </c>
      <c r="R5" s="98" t="s">
        <v>588</v>
      </c>
      <c r="S5" s="99">
        <f t="shared" si="1"/>
        <v>3.6989700043360187</v>
      </c>
      <c r="T5" s="55">
        <v>5000</v>
      </c>
      <c r="U5" s="55">
        <f t="shared" si="2"/>
        <v>3.6989700043360187</v>
      </c>
      <c r="V5" s="49">
        <v>25</v>
      </c>
      <c r="W5" s="41">
        <v>2</v>
      </c>
      <c r="X5" s="41" t="s">
        <v>609</v>
      </c>
      <c r="Y5" s="101"/>
      <c r="Z5" s="406"/>
      <c r="AA5" s="101"/>
      <c r="AB5" s="101"/>
      <c r="AC5" s="101"/>
      <c r="AD5" s="101"/>
      <c r="AE5" s="101"/>
      <c r="AF5" s="101"/>
      <c r="AG5" s="49">
        <v>0</v>
      </c>
      <c r="AH5" s="49">
        <v>0</v>
      </c>
      <c r="AI5" s="34" t="s">
        <v>60</v>
      </c>
      <c r="AJ5" s="403" t="s">
        <v>602</v>
      </c>
      <c r="AK5" s="34" t="s">
        <v>30</v>
      </c>
      <c r="AL5" s="52"/>
      <c r="AM5" s="34" t="s">
        <v>442</v>
      </c>
      <c r="AN5" s="34">
        <v>4</v>
      </c>
      <c r="AO5" s="34">
        <v>2</v>
      </c>
      <c r="AP5" s="34">
        <f t="shared" si="3"/>
        <v>2</v>
      </c>
    </row>
    <row r="6" spans="1:42" ht="15" customHeight="1" x14ac:dyDescent="0.25">
      <c r="A6" s="32" t="s">
        <v>437</v>
      </c>
      <c r="B6" s="32" t="s">
        <v>147</v>
      </c>
      <c r="C6" s="32" t="s">
        <v>589</v>
      </c>
      <c r="D6" s="32" t="s">
        <v>584</v>
      </c>
      <c r="E6" s="33" t="s">
        <v>31</v>
      </c>
      <c r="F6" s="33" t="s">
        <v>31</v>
      </c>
      <c r="G6" s="34" t="s">
        <v>600</v>
      </c>
      <c r="H6" s="34" t="s">
        <v>596</v>
      </c>
      <c r="I6" s="34" t="s">
        <v>597</v>
      </c>
      <c r="J6" s="35">
        <v>44461</v>
      </c>
      <c r="K6" s="36">
        <v>44468</v>
      </c>
      <c r="L6" s="96" t="s">
        <v>66</v>
      </c>
      <c r="M6" s="36">
        <v>44504</v>
      </c>
      <c r="N6" s="37">
        <f t="shared" si="0"/>
        <v>36</v>
      </c>
      <c r="O6" s="34">
        <v>1</v>
      </c>
      <c r="P6" s="97"/>
      <c r="Q6" s="98" t="s">
        <v>587</v>
      </c>
      <c r="R6" s="98" t="s">
        <v>588</v>
      </c>
      <c r="S6" s="99">
        <f t="shared" si="1"/>
        <v>3.6989700043360187</v>
      </c>
      <c r="T6" s="55">
        <v>5000</v>
      </c>
      <c r="U6" s="55">
        <f t="shared" si="2"/>
        <v>3.6989700043360187</v>
      </c>
      <c r="V6" s="49">
        <v>16</v>
      </c>
      <c r="W6" s="41">
        <v>2</v>
      </c>
      <c r="X6" s="41" t="s">
        <v>604</v>
      </c>
      <c r="Y6" s="49">
        <v>8.5503610709080604</v>
      </c>
      <c r="Z6" s="51">
        <f t="shared" ref="Z6:Z21" si="4">LOG10(Y6)</f>
        <v>0.93198445482079639</v>
      </c>
      <c r="AA6" s="49">
        <v>11.006143609716601</v>
      </c>
      <c r="AB6" s="100">
        <f t="shared" ref="AB6:AB14" si="5">LOG10(AA6)</f>
        <v>1.0416351752478585</v>
      </c>
      <c r="AC6" s="101"/>
      <c r="AD6" s="101"/>
      <c r="AE6" s="101"/>
      <c r="AF6" s="101"/>
      <c r="AG6" s="101"/>
      <c r="AH6" s="101"/>
      <c r="AI6" s="34" t="s">
        <v>60</v>
      </c>
      <c r="AJ6" s="403" t="s">
        <v>605</v>
      </c>
      <c r="AK6" s="34" t="s">
        <v>30</v>
      </c>
      <c r="AL6" s="52" t="s">
        <v>606</v>
      </c>
      <c r="AM6" s="34" t="s">
        <v>437</v>
      </c>
      <c r="AN6" s="34">
        <v>5</v>
      </c>
      <c r="AO6" s="34">
        <v>2</v>
      </c>
      <c r="AP6" s="34">
        <f t="shared" si="3"/>
        <v>2</v>
      </c>
    </row>
    <row r="7" spans="1:42" ht="15" customHeight="1" x14ac:dyDescent="0.25">
      <c r="A7" s="32" t="s">
        <v>433</v>
      </c>
      <c r="B7" s="32" t="s">
        <v>147</v>
      </c>
      <c r="C7" s="32" t="s">
        <v>589</v>
      </c>
      <c r="D7" s="32" t="s">
        <v>584</v>
      </c>
      <c r="E7" s="33" t="s">
        <v>31</v>
      </c>
      <c r="F7" s="33" t="s">
        <v>31</v>
      </c>
      <c r="G7" s="34" t="s">
        <v>61</v>
      </c>
      <c r="H7" s="34" t="s">
        <v>596</v>
      </c>
      <c r="I7" s="34" t="s">
        <v>597</v>
      </c>
      <c r="J7" s="35">
        <v>44461</v>
      </c>
      <c r="K7" s="36">
        <v>44468</v>
      </c>
      <c r="L7" s="96" t="s">
        <v>66</v>
      </c>
      <c r="M7" s="36">
        <v>44504</v>
      </c>
      <c r="N7" s="37">
        <f t="shared" si="0"/>
        <v>36</v>
      </c>
      <c r="O7" s="96">
        <v>1</v>
      </c>
      <c r="P7" s="97" t="s">
        <v>598</v>
      </c>
      <c r="Q7" s="98" t="s">
        <v>587</v>
      </c>
      <c r="R7" s="98" t="s">
        <v>588</v>
      </c>
      <c r="S7" s="99">
        <f t="shared" si="1"/>
        <v>3.6989700043360187</v>
      </c>
      <c r="T7" s="55">
        <v>5000</v>
      </c>
      <c r="U7" s="55">
        <f t="shared" si="2"/>
        <v>3.6989700043360187</v>
      </c>
      <c r="V7" s="49">
        <v>16</v>
      </c>
      <c r="W7" s="41">
        <v>3</v>
      </c>
      <c r="X7" s="42" t="s">
        <v>599</v>
      </c>
      <c r="Y7" s="100">
        <v>2.3010299999999999</v>
      </c>
      <c r="Z7" s="407">
        <f t="shared" si="4"/>
        <v>0.36192228088051825</v>
      </c>
      <c r="AA7" s="100">
        <v>6.4951088719399603</v>
      </c>
      <c r="AB7" s="100">
        <f t="shared" si="5"/>
        <v>0.81258643517601803</v>
      </c>
      <c r="AC7" s="98">
        <v>6.1441000199999998</v>
      </c>
      <c r="AD7" s="98">
        <f t="shared" ref="AD7:AD28" si="6">LOG10(AC7)</f>
        <v>0.78845827697471094</v>
      </c>
      <c r="AE7" s="102"/>
      <c r="AF7" s="102"/>
      <c r="AG7" s="392">
        <v>3.1139433523068369</v>
      </c>
      <c r="AH7" s="43">
        <f>LOG10(AG7)</f>
        <v>0.49331070778113001</v>
      </c>
      <c r="AI7" s="34" t="s">
        <v>60</v>
      </c>
      <c r="AJ7" s="34">
        <v>14</v>
      </c>
      <c r="AK7" s="34" t="s">
        <v>30</v>
      </c>
      <c r="AL7" s="52"/>
      <c r="AM7" s="34" t="s">
        <v>433</v>
      </c>
      <c r="AN7" s="34">
        <v>5</v>
      </c>
      <c r="AO7" s="34">
        <v>1</v>
      </c>
      <c r="AP7" s="34">
        <f t="shared" si="3"/>
        <v>1</v>
      </c>
    </row>
    <row r="8" spans="1:42" ht="15" customHeight="1" x14ac:dyDescent="0.25">
      <c r="A8" s="32" t="s">
        <v>436</v>
      </c>
      <c r="B8" s="32" t="s">
        <v>147</v>
      </c>
      <c r="C8" s="32" t="s">
        <v>584</v>
      </c>
      <c r="D8" s="32" t="s">
        <v>584</v>
      </c>
      <c r="E8" s="48" t="s">
        <v>26</v>
      </c>
      <c r="F8" s="33" t="s">
        <v>31</v>
      </c>
      <c r="G8" s="34" t="s">
        <v>61</v>
      </c>
      <c r="H8" s="34" t="s">
        <v>596</v>
      </c>
      <c r="I8" s="34" t="s">
        <v>597</v>
      </c>
      <c r="J8" s="35">
        <v>44461</v>
      </c>
      <c r="K8" s="36">
        <v>44496</v>
      </c>
      <c r="L8" s="96" t="s">
        <v>66</v>
      </c>
      <c r="M8" s="36">
        <v>44504</v>
      </c>
      <c r="N8" s="37">
        <f t="shared" si="0"/>
        <v>8</v>
      </c>
      <c r="O8" s="34">
        <v>1</v>
      </c>
      <c r="P8" s="97"/>
      <c r="Q8" s="98" t="s">
        <v>587</v>
      </c>
      <c r="R8" s="98" t="s">
        <v>588</v>
      </c>
      <c r="S8" s="99">
        <f t="shared" si="1"/>
        <v>3.6989700043360187</v>
      </c>
      <c r="T8" s="55">
        <v>5000</v>
      </c>
      <c r="U8" s="55">
        <f t="shared" si="2"/>
        <v>3.6989700043360187</v>
      </c>
      <c r="V8" s="53">
        <v>5</v>
      </c>
      <c r="W8" s="53">
        <v>0</v>
      </c>
      <c r="X8" s="53">
        <v>0</v>
      </c>
      <c r="Y8" s="100">
        <v>2.3010299999999999</v>
      </c>
      <c r="Z8" s="407">
        <f t="shared" si="4"/>
        <v>0.36192228088051825</v>
      </c>
      <c r="AA8" s="100">
        <v>2.3010299956639799</v>
      </c>
      <c r="AB8" s="100">
        <f t="shared" si="5"/>
        <v>0.36192228006214144</v>
      </c>
      <c r="AC8" s="98">
        <v>6.1719330699999997</v>
      </c>
      <c r="AD8" s="98">
        <f t="shared" si="6"/>
        <v>0.79042120781766934</v>
      </c>
      <c r="AE8" s="100">
        <v>0</v>
      </c>
      <c r="AF8" s="100">
        <v>0</v>
      </c>
      <c r="AG8" s="100">
        <v>0</v>
      </c>
      <c r="AH8" s="100">
        <v>0</v>
      </c>
      <c r="AI8" s="40" t="s">
        <v>60</v>
      </c>
      <c r="AJ8" s="40">
        <v>14</v>
      </c>
      <c r="AK8" s="34" t="s">
        <v>30</v>
      </c>
      <c r="AL8" s="47"/>
      <c r="AM8" s="40" t="s">
        <v>436</v>
      </c>
      <c r="AN8" s="40">
        <v>0</v>
      </c>
      <c r="AO8" s="40">
        <v>1</v>
      </c>
      <c r="AP8" s="34">
        <f t="shared" si="3"/>
        <v>1</v>
      </c>
    </row>
    <row r="9" spans="1:42" ht="15" customHeight="1" x14ac:dyDescent="0.25">
      <c r="A9" s="32" t="s">
        <v>434</v>
      </c>
      <c r="B9" s="32" t="s">
        <v>147</v>
      </c>
      <c r="C9" s="32" t="s">
        <v>584</v>
      </c>
      <c r="D9" s="32" t="s">
        <v>584</v>
      </c>
      <c r="E9" s="48" t="s">
        <v>26</v>
      </c>
      <c r="F9" s="48" t="s">
        <v>26</v>
      </c>
      <c r="G9" s="34" t="s">
        <v>61</v>
      </c>
      <c r="H9" s="34" t="s">
        <v>596</v>
      </c>
      <c r="I9" s="34" t="s">
        <v>597</v>
      </c>
      <c r="J9" s="35">
        <v>44461</v>
      </c>
      <c r="K9" s="36">
        <v>44487</v>
      </c>
      <c r="L9" s="96" t="s">
        <v>66</v>
      </c>
      <c r="M9" s="36">
        <v>44504</v>
      </c>
      <c r="N9" s="37">
        <f t="shared" si="0"/>
        <v>17</v>
      </c>
      <c r="O9" s="34">
        <v>1</v>
      </c>
      <c r="P9" s="97"/>
      <c r="Q9" s="98" t="s">
        <v>587</v>
      </c>
      <c r="R9" s="98" t="s">
        <v>588</v>
      </c>
      <c r="S9" s="99">
        <f t="shared" si="1"/>
        <v>3.6989700043360187</v>
      </c>
      <c r="T9" s="55">
        <v>5000</v>
      </c>
      <c r="U9" s="55">
        <f t="shared" si="2"/>
        <v>3.6989700043360187</v>
      </c>
      <c r="V9" s="49">
        <v>11</v>
      </c>
      <c r="W9" s="49">
        <v>0</v>
      </c>
      <c r="X9" s="49">
        <v>0</v>
      </c>
      <c r="Y9" s="100">
        <v>6.7974003099999996</v>
      </c>
      <c r="Z9" s="407">
        <f t="shared" si="4"/>
        <v>0.83234284698636696</v>
      </c>
      <c r="AA9" s="100">
        <v>7.9650422280862303</v>
      </c>
      <c r="AB9" s="100">
        <f t="shared" si="5"/>
        <v>0.90118808263259487</v>
      </c>
      <c r="AC9" s="98">
        <v>2.3010299999999999</v>
      </c>
      <c r="AD9" s="98">
        <f t="shared" si="6"/>
        <v>0.36192228088051825</v>
      </c>
      <c r="AE9" s="100">
        <v>0</v>
      </c>
      <c r="AF9" s="100">
        <v>0</v>
      </c>
      <c r="AG9" s="100">
        <v>0</v>
      </c>
      <c r="AH9" s="100">
        <v>0</v>
      </c>
      <c r="AI9" s="34" t="s">
        <v>60</v>
      </c>
      <c r="AJ9" s="34">
        <v>5</v>
      </c>
      <c r="AK9" s="34" t="s">
        <v>30</v>
      </c>
      <c r="AL9" s="52"/>
      <c r="AM9" s="34" t="s">
        <v>434</v>
      </c>
      <c r="AN9" s="34">
        <v>0</v>
      </c>
      <c r="AO9" s="34">
        <v>0</v>
      </c>
      <c r="AP9" s="34">
        <f t="shared" si="3"/>
        <v>0</v>
      </c>
    </row>
    <row r="10" spans="1:42" ht="15" customHeight="1" x14ac:dyDescent="0.25">
      <c r="A10" s="58" t="s">
        <v>439</v>
      </c>
      <c r="B10" s="58" t="s">
        <v>147</v>
      </c>
      <c r="C10" s="58" t="s">
        <v>584</v>
      </c>
      <c r="D10" s="58" t="s">
        <v>584</v>
      </c>
      <c r="E10" s="59" t="s">
        <v>26</v>
      </c>
      <c r="F10" s="59" t="s">
        <v>26</v>
      </c>
      <c r="G10" s="61" t="s">
        <v>61</v>
      </c>
      <c r="H10" s="61" t="s">
        <v>596</v>
      </c>
      <c r="I10" s="61" t="s">
        <v>597</v>
      </c>
      <c r="J10" s="62">
        <v>44461</v>
      </c>
      <c r="K10" s="63">
        <v>44487</v>
      </c>
      <c r="L10" s="347" t="s">
        <v>66</v>
      </c>
      <c r="M10" s="63">
        <v>44504</v>
      </c>
      <c r="N10" s="64">
        <f t="shared" si="0"/>
        <v>17</v>
      </c>
      <c r="O10" s="61">
        <v>1</v>
      </c>
      <c r="P10" s="110"/>
      <c r="Q10" s="354" t="s">
        <v>587</v>
      </c>
      <c r="R10" s="354" t="s">
        <v>588</v>
      </c>
      <c r="S10" s="356">
        <f t="shared" si="1"/>
        <v>3.6989700043360187</v>
      </c>
      <c r="T10" s="67">
        <v>5000</v>
      </c>
      <c r="U10" s="67">
        <f t="shared" si="2"/>
        <v>3.6989700043360187</v>
      </c>
      <c r="V10" s="66">
        <v>10</v>
      </c>
      <c r="W10" s="66">
        <v>0</v>
      </c>
      <c r="X10" s="66">
        <v>0</v>
      </c>
      <c r="Y10" s="368">
        <v>9.2749618799999993</v>
      </c>
      <c r="Z10" s="408">
        <f t="shared" si="4"/>
        <v>0.96731213334480082</v>
      </c>
      <c r="AA10" s="368">
        <v>7.49443108309279</v>
      </c>
      <c r="AB10" s="368">
        <f t="shared" si="5"/>
        <v>0.87473867029286501</v>
      </c>
      <c r="AC10" s="354">
        <v>11.7460431</v>
      </c>
      <c r="AD10" s="354">
        <f t="shared" si="6"/>
        <v>1.0698915900756278</v>
      </c>
      <c r="AE10" s="368">
        <v>0</v>
      </c>
      <c r="AF10" s="368">
        <v>0</v>
      </c>
      <c r="AG10" s="368">
        <v>0</v>
      </c>
      <c r="AH10" s="115">
        <v>0</v>
      </c>
      <c r="AI10" s="61" t="s">
        <v>29</v>
      </c>
      <c r="AJ10" s="61">
        <v>5</v>
      </c>
      <c r="AK10" s="61" t="s">
        <v>30</v>
      </c>
      <c r="AL10" s="204"/>
      <c r="AM10" s="61" t="s">
        <v>439</v>
      </c>
      <c r="AN10" s="61">
        <v>0</v>
      </c>
      <c r="AO10" s="61">
        <v>0</v>
      </c>
      <c r="AP10" s="61">
        <f t="shared" si="3"/>
        <v>0</v>
      </c>
    </row>
    <row r="11" spans="1:42" ht="15" customHeight="1" x14ac:dyDescent="0.25">
      <c r="A11" s="78" t="s">
        <v>441</v>
      </c>
      <c r="B11" s="78" t="s">
        <v>147</v>
      </c>
      <c r="C11" s="78" t="s">
        <v>584</v>
      </c>
      <c r="D11" s="78" t="s">
        <v>584</v>
      </c>
      <c r="E11" s="182" t="s">
        <v>26</v>
      </c>
      <c r="F11" s="79" t="s">
        <v>31</v>
      </c>
      <c r="G11" s="80" t="s">
        <v>61</v>
      </c>
      <c r="H11" s="80" t="s">
        <v>596</v>
      </c>
      <c r="I11" s="80" t="s">
        <v>597</v>
      </c>
      <c r="J11" s="81">
        <v>44461</v>
      </c>
      <c r="K11" s="82">
        <v>44496</v>
      </c>
      <c r="L11" s="83" t="s">
        <v>66</v>
      </c>
      <c r="M11" s="82">
        <v>44504</v>
      </c>
      <c r="N11" s="84">
        <f t="shared" si="0"/>
        <v>8</v>
      </c>
      <c r="O11" s="80">
        <v>1</v>
      </c>
      <c r="P11" s="85"/>
      <c r="Q11" s="86" t="s">
        <v>587</v>
      </c>
      <c r="R11" s="86" t="s">
        <v>588</v>
      </c>
      <c r="S11" s="87">
        <f t="shared" si="1"/>
        <v>3.6989700043360187</v>
      </c>
      <c r="T11" s="88">
        <v>5000</v>
      </c>
      <c r="U11" s="88">
        <f t="shared" si="2"/>
        <v>3.6989700043360187</v>
      </c>
      <c r="V11" s="89">
        <v>5</v>
      </c>
      <c r="W11" s="89">
        <v>0</v>
      </c>
      <c r="X11" s="89">
        <v>0</v>
      </c>
      <c r="Y11" s="92">
        <v>2.3010299999999999</v>
      </c>
      <c r="Z11" s="409">
        <f t="shared" si="4"/>
        <v>0.36192228088051825</v>
      </c>
      <c r="AA11" s="92">
        <v>5.7536863801056102</v>
      </c>
      <c r="AB11" s="92">
        <f t="shared" si="5"/>
        <v>0.75994618583002083</v>
      </c>
      <c r="AC11" s="86">
        <v>2.3010299999999999</v>
      </c>
      <c r="AD11" s="86">
        <f t="shared" si="6"/>
        <v>0.36192228088051825</v>
      </c>
      <c r="AE11" s="124">
        <v>0</v>
      </c>
      <c r="AF11" s="124">
        <v>0</v>
      </c>
      <c r="AG11" s="92">
        <v>0</v>
      </c>
      <c r="AH11" s="124">
        <v>0</v>
      </c>
      <c r="AI11" s="80" t="s">
        <v>60</v>
      </c>
      <c r="AJ11" s="80">
        <v>5</v>
      </c>
      <c r="AK11" s="80" t="s">
        <v>30</v>
      </c>
      <c r="AL11" s="95"/>
      <c r="AM11" s="80" t="s">
        <v>441</v>
      </c>
      <c r="AN11" s="80">
        <v>0</v>
      </c>
      <c r="AO11" s="80">
        <v>1</v>
      </c>
      <c r="AP11" s="80">
        <f t="shared" si="3"/>
        <v>1</v>
      </c>
    </row>
    <row r="12" spans="1:42" ht="15" customHeight="1" x14ac:dyDescent="0.25">
      <c r="A12" s="32" t="s">
        <v>446</v>
      </c>
      <c r="B12" s="32" t="s">
        <v>147</v>
      </c>
      <c r="C12" s="32" t="s">
        <v>589</v>
      </c>
      <c r="D12" s="32" t="s">
        <v>584</v>
      </c>
      <c r="E12" s="33" t="s">
        <v>31</v>
      </c>
      <c r="F12" s="33" t="s">
        <v>31</v>
      </c>
      <c r="G12" s="34" t="s">
        <v>61</v>
      </c>
      <c r="H12" s="34" t="s">
        <v>596</v>
      </c>
      <c r="I12" s="34" t="s">
        <v>597</v>
      </c>
      <c r="J12" s="35">
        <v>44461</v>
      </c>
      <c r="K12" s="36">
        <v>44487</v>
      </c>
      <c r="L12" s="96" t="s">
        <v>66</v>
      </c>
      <c r="M12" s="36">
        <v>44504</v>
      </c>
      <c r="N12" s="37">
        <f t="shared" si="0"/>
        <v>17</v>
      </c>
      <c r="O12" s="34">
        <v>1</v>
      </c>
      <c r="P12" s="97"/>
      <c r="Q12" s="98" t="s">
        <v>587</v>
      </c>
      <c r="R12" s="98" t="s">
        <v>588</v>
      </c>
      <c r="S12" s="99">
        <f t="shared" si="1"/>
        <v>3.6989700043360187</v>
      </c>
      <c r="T12" s="55">
        <v>5000</v>
      </c>
      <c r="U12" s="55">
        <f t="shared" si="2"/>
        <v>3.6989700043360187</v>
      </c>
      <c r="V12" s="49">
        <v>18</v>
      </c>
      <c r="W12" s="49">
        <v>0</v>
      </c>
      <c r="X12" s="49">
        <v>0</v>
      </c>
      <c r="Y12" s="100">
        <v>8.5503610699999992</v>
      </c>
      <c r="Z12" s="407">
        <f t="shared" si="4"/>
        <v>0.93198445477467362</v>
      </c>
      <c r="AA12" s="100">
        <v>11.810874426539501</v>
      </c>
      <c r="AB12" s="92">
        <f t="shared" si="5"/>
        <v>1.0722820521065493</v>
      </c>
      <c r="AC12" s="98">
        <v>11.7460431</v>
      </c>
      <c r="AD12" s="98">
        <f t="shared" si="6"/>
        <v>1.0698915900756278</v>
      </c>
      <c r="AE12" s="99">
        <v>3.9542425094393248</v>
      </c>
      <c r="AF12" s="98">
        <f>LOG10(AE12)</f>
        <v>0.59706330060781165</v>
      </c>
      <c r="AG12" s="392">
        <v>2.3521825181113627</v>
      </c>
      <c r="AH12" s="100">
        <f>LOG10(AG12)</f>
        <v>0.37147101788589421</v>
      </c>
      <c r="AI12" s="34" t="s">
        <v>29</v>
      </c>
      <c r="AJ12" s="34">
        <v>5</v>
      </c>
      <c r="AK12" s="34" t="s">
        <v>30</v>
      </c>
      <c r="AL12" s="52"/>
      <c r="AM12" s="34" t="s">
        <v>446</v>
      </c>
      <c r="AN12" s="34">
        <v>3</v>
      </c>
      <c r="AO12" s="34">
        <v>4</v>
      </c>
      <c r="AP12" s="34">
        <f t="shared" si="3"/>
        <v>4</v>
      </c>
    </row>
    <row r="13" spans="1:42" ht="15" customHeight="1" x14ac:dyDescent="0.25">
      <c r="A13" s="32" t="s">
        <v>186</v>
      </c>
      <c r="B13" s="32" t="s">
        <v>185</v>
      </c>
      <c r="C13" s="32" t="s">
        <v>584</v>
      </c>
      <c r="D13" s="32" t="s">
        <v>584</v>
      </c>
      <c r="E13" s="48" t="s">
        <v>26</v>
      </c>
      <c r="F13" s="48" t="s">
        <v>26</v>
      </c>
      <c r="G13" s="34" t="s">
        <v>600</v>
      </c>
      <c r="H13" s="80">
        <v>10</v>
      </c>
      <c r="I13" s="80" t="s">
        <v>586</v>
      </c>
      <c r="J13" s="35">
        <v>44615</v>
      </c>
      <c r="K13" s="36">
        <v>44651</v>
      </c>
      <c r="L13" s="34" t="s">
        <v>66</v>
      </c>
      <c r="M13" s="36">
        <v>44652</v>
      </c>
      <c r="N13" s="37">
        <f t="shared" si="0"/>
        <v>1</v>
      </c>
      <c r="O13" s="34">
        <v>1</v>
      </c>
      <c r="P13" s="243" t="s">
        <v>653</v>
      </c>
      <c r="Q13" s="244" t="s">
        <v>588</v>
      </c>
      <c r="R13" s="244" t="s">
        <v>588</v>
      </c>
      <c r="S13" s="244">
        <f t="shared" si="1"/>
        <v>3.6989700043360187</v>
      </c>
      <c r="T13" s="34">
        <v>5000</v>
      </c>
      <c r="U13" s="34">
        <f t="shared" si="2"/>
        <v>3.6989700043360187</v>
      </c>
      <c r="V13" s="40">
        <v>2</v>
      </c>
      <c r="W13" s="53">
        <v>0</v>
      </c>
      <c r="X13" s="53">
        <v>0</v>
      </c>
      <c r="Y13" s="137">
        <v>1609401200</v>
      </c>
      <c r="Z13" s="410">
        <f t="shared" si="4"/>
        <v>9.206664320809244</v>
      </c>
      <c r="AA13" s="137">
        <v>7.0569048513364701</v>
      </c>
      <c r="AB13" s="137">
        <f t="shared" si="5"/>
        <v>0.84861426185554423</v>
      </c>
      <c r="AC13" s="43">
        <v>1</v>
      </c>
      <c r="AD13" s="43">
        <f t="shared" si="6"/>
        <v>0</v>
      </c>
      <c r="AE13" s="246"/>
      <c r="AF13" s="246"/>
      <c r="AG13" s="53">
        <v>0</v>
      </c>
      <c r="AH13" s="53">
        <v>0</v>
      </c>
      <c r="AI13" s="40" t="s">
        <v>60</v>
      </c>
      <c r="AJ13" s="40">
        <v>15</v>
      </c>
      <c r="AK13" s="40" t="s">
        <v>30</v>
      </c>
      <c r="AL13" s="47"/>
      <c r="AM13" s="53" t="s">
        <v>186</v>
      </c>
      <c r="AN13" s="53">
        <v>0</v>
      </c>
      <c r="AO13" s="53">
        <v>0</v>
      </c>
      <c r="AP13" s="34">
        <f>SUM(AM33,AO33)</f>
        <v>4</v>
      </c>
    </row>
    <row r="14" spans="1:42" ht="15" customHeight="1" x14ac:dyDescent="0.25">
      <c r="A14" s="32" t="s">
        <v>533</v>
      </c>
      <c r="B14" s="32" t="s">
        <v>185</v>
      </c>
      <c r="C14" s="32" t="s">
        <v>584</v>
      </c>
      <c r="D14" s="32" t="s">
        <v>584</v>
      </c>
      <c r="E14" s="48" t="s">
        <v>26</v>
      </c>
      <c r="F14" s="48" t="s">
        <v>26</v>
      </c>
      <c r="G14" s="34" t="s">
        <v>600</v>
      </c>
      <c r="H14" s="34">
        <v>10</v>
      </c>
      <c r="I14" s="34" t="s">
        <v>586</v>
      </c>
      <c r="J14" s="35">
        <v>44615</v>
      </c>
      <c r="K14" s="36">
        <v>44651</v>
      </c>
      <c r="L14" s="34" t="s">
        <v>66</v>
      </c>
      <c r="M14" s="36">
        <v>44652</v>
      </c>
      <c r="N14" s="37">
        <f t="shared" si="0"/>
        <v>1</v>
      </c>
      <c r="O14" s="34">
        <v>1</v>
      </c>
      <c r="P14" s="243"/>
      <c r="Q14" s="244" t="s">
        <v>588</v>
      </c>
      <c r="R14" s="244" t="s">
        <v>588</v>
      </c>
      <c r="S14" s="244">
        <f t="shared" si="1"/>
        <v>3.6989700043360187</v>
      </c>
      <c r="T14" s="34">
        <v>5000</v>
      </c>
      <c r="U14" s="34">
        <f t="shared" si="2"/>
        <v>3.6989700043360187</v>
      </c>
      <c r="V14" s="40">
        <v>5</v>
      </c>
      <c r="W14" s="53">
        <v>0</v>
      </c>
      <c r="X14" s="53">
        <v>0</v>
      </c>
      <c r="Y14" s="137">
        <v>1</v>
      </c>
      <c r="Z14" s="410">
        <f t="shared" si="4"/>
        <v>0</v>
      </c>
      <c r="AA14" s="137">
        <v>8.2513948500401</v>
      </c>
      <c r="AB14" s="376">
        <f t="shared" si="5"/>
        <v>0.91652736969794879</v>
      </c>
      <c r="AC14" s="39">
        <v>29800000</v>
      </c>
      <c r="AD14" s="39">
        <f t="shared" si="6"/>
        <v>7.4742162640762553</v>
      </c>
      <c r="AE14" s="246"/>
      <c r="AF14" s="246"/>
      <c r="AG14" s="53">
        <v>0</v>
      </c>
      <c r="AH14" s="53">
        <v>0</v>
      </c>
      <c r="AI14" s="40" t="s">
        <v>60</v>
      </c>
      <c r="AJ14" s="40">
        <v>15</v>
      </c>
      <c r="AK14" s="40" t="s">
        <v>30</v>
      </c>
      <c r="AL14" s="47"/>
      <c r="AM14" s="53" t="s">
        <v>533</v>
      </c>
      <c r="AN14" s="53">
        <v>0</v>
      </c>
      <c r="AO14" s="53">
        <v>0</v>
      </c>
      <c r="AP14" s="34">
        <f>SUM(AM34,AO34)</f>
        <v>4</v>
      </c>
    </row>
    <row r="15" spans="1:42" ht="15" customHeight="1" x14ac:dyDescent="0.25">
      <c r="A15" s="32" t="s">
        <v>536</v>
      </c>
      <c r="B15" s="32" t="s">
        <v>185</v>
      </c>
      <c r="C15" s="32" t="s">
        <v>584</v>
      </c>
      <c r="D15" s="32" t="s">
        <v>584</v>
      </c>
      <c r="E15" s="48" t="s">
        <v>26</v>
      </c>
      <c r="F15" s="48" t="s">
        <v>26</v>
      </c>
      <c r="G15" s="34" t="s">
        <v>600</v>
      </c>
      <c r="H15" s="80">
        <v>10</v>
      </c>
      <c r="I15" s="80" t="s">
        <v>586</v>
      </c>
      <c r="J15" s="35">
        <v>44615</v>
      </c>
      <c r="K15" s="36">
        <v>44651</v>
      </c>
      <c r="L15" s="34" t="s">
        <v>66</v>
      </c>
      <c r="M15" s="36">
        <v>44652</v>
      </c>
      <c r="N15" s="37">
        <f t="shared" si="0"/>
        <v>1</v>
      </c>
      <c r="O15" s="34">
        <v>1</v>
      </c>
      <c r="P15" s="243"/>
      <c r="Q15" s="244" t="s">
        <v>588</v>
      </c>
      <c r="R15" s="244" t="s">
        <v>588</v>
      </c>
      <c r="S15" s="244">
        <f t="shared" si="1"/>
        <v>3.6989700043360187</v>
      </c>
      <c r="T15" s="34">
        <v>5000</v>
      </c>
      <c r="U15" s="34">
        <f t="shared" si="2"/>
        <v>3.6989700043360187</v>
      </c>
      <c r="V15" s="40">
        <v>2</v>
      </c>
      <c r="W15" s="53">
        <v>0</v>
      </c>
      <c r="X15" s="53">
        <v>0</v>
      </c>
      <c r="Y15" s="43">
        <v>1</v>
      </c>
      <c r="Z15" s="411">
        <f t="shared" si="4"/>
        <v>0</v>
      </c>
      <c r="AA15" s="43">
        <v>0</v>
      </c>
      <c r="AB15" s="231">
        <v>0</v>
      </c>
      <c r="AC15" s="43">
        <v>1</v>
      </c>
      <c r="AD15" s="43">
        <f t="shared" si="6"/>
        <v>0</v>
      </c>
      <c r="AE15" s="246"/>
      <c r="AF15" s="246"/>
      <c r="AG15" s="54">
        <v>0</v>
      </c>
      <c r="AH15" s="53">
        <v>0</v>
      </c>
      <c r="AI15" s="40" t="s">
        <v>29</v>
      </c>
      <c r="AJ15" s="40">
        <v>15</v>
      </c>
      <c r="AK15" s="40" t="s">
        <v>30</v>
      </c>
      <c r="AL15" s="47"/>
      <c r="AM15" s="53" t="s">
        <v>536</v>
      </c>
      <c r="AN15" s="53">
        <v>0</v>
      </c>
      <c r="AO15" s="53">
        <v>0</v>
      </c>
      <c r="AP15" s="34">
        <f>SUM(AM35,AO35)</f>
        <v>1</v>
      </c>
    </row>
    <row r="16" spans="1:42" ht="15" customHeight="1" x14ac:dyDescent="0.25">
      <c r="A16" s="32" t="s">
        <v>538</v>
      </c>
      <c r="B16" s="32" t="s">
        <v>185</v>
      </c>
      <c r="C16" s="32" t="s">
        <v>584</v>
      </c>
      <c r="D16" s="32" t="s">
        <v>584</v>
      </c>
      <c r="E16" s="48" t="s">
        <v>26</v>
      </c>
      <c r="F16" s="33" t="s">
        <v>31</v>
      </c>
      <c r="G16" s="34" t="s">
        <v>600</v>
      </c>
      <c r="H16" s="34">
        <v>10</v>
      </c>
      <c r="I16" s="34" t="s">
        <v>586</v>
      </c>
      <c r="J16" s="35">
        <v>44615</v>
      </c>
      <c r="K16" s="36">
        <v>44641</v>
      </c>
      <c r="L16" s="34" t="s">
        <v>66</v>
      </c>
      <c r="M16" s="36">
        <v>44652</v>
      </c>
      <c r="N16" s="37">
        <f t="shared" si="0"/>
        <v>11</v>
      </c>
      <c r="O16" s="34">
        <v>1</v>
      </c>
      <c r="P16" s="243"/>
      <c r="Q16" s="244" t="s">
        <v>588</v>
      </c>
      <c r="R16" s="244" t="s">
        <v>588</v>
      </c>
      <c r="S16" s="244">
        <f t="shared" si="1"/>
        <v>3.6989700043360187</v>
      </c>
      <c r="T16" s="34">
        <v>5000</v>
      </c>
      <c r="U16" s="34">
        <f t="shared" si="2"/>
        <v>3.6989700043360187</v>
      </c>
      <c r="V16" s="40">
        <v>25</v>
      </c>
      <c r="W16" s="53">
        <v>0</v>
      </c>
      <c r="X16" s="53">
        <v>0</v>
      </c>
      <c r="Y16" s="137">
        <v>1860000000</v>
      </c>
      <c r="Z16" s="410">
        <f t="shared" si="4"/>
        <v>9.2695129442179169</v>
      </c>
      <c r="AA16" s="137">
        <v>10.0382712909428</v>
      </c>
      <c r="AB16" s="376">
        <f>LOG10(AA16)</f>
        <v>1.0016589286012036</v>
      </c>
      <c r="AC16" s="39">
        <v>257000000</v>
      </c>
      <c r="AD16" s="39">
        <f t="shared" si="6"/>
        <v>8.4099331233312942</v>
      </c>
      <c r="AE16" s="156"/>
      <c r="AF16" s="156"/>
      <c r="AG16" s="389">
        <v>4.2671717284030137</v>
      </c>
      <c r="AH16" s="136">
        <f>LOG10(AG16)</f>
        <v>0.6301401209931482</v>
      </c>
      <c r="AI16" s="40" t="s">
        <v>29</v>
      </c>
      <c r="AJ16" s="40">
        <v>15</v>
      </c>
      <c r="AK16" s="40" t="s">
        <v>30</v>
      </c>
      <c r="AL16" s="47"/>
      <c r="AM16" s="53" t="s">
        <v>538</v>
      </c>
      <c r="AN16" s="53">
        <v>0</v>
      </c>
      <c r="AO16" s="53">
        <v>4</v>
      </c>
      <c r="AP16" s="34">
        <f>SUM(AM36,AO36)</f>
        <v>3</v>
      </c>
    </row>
    <row r="17" spans="1:42" ht="15" customHeight="1" x14ac:dyDescent="0.25">
      <c r="A17" s="32" t="s">
        <v>57</v>
      </c>
      <c r="B17" s="32" t="s">
        <v>58</v>
      </c>
      <c r="C17" s="32" t="s">
        <v>589</v>
      </c>
      <c r="D17" s="32" t="s">
        <v>584</v>
      </c>
      <c r="E17" s="33" t="s">
        <v>31</v>
      </c>
      <c r="F17" s="33" t="s">
        <v>31</v>
      </c>
      <c r="G17" s="34" t="s">
        <v>61</v>
      </c>
      <c r="H17" s="80">
        <v>26</v>
      </c>
      <c r="I17" s="80" t="s">
        <v>586</v>
      </c>
      <c r="J17" s="35">
        <v>44231</v>
      </c>
      <c r="K17" s="36">
        <v>44246</v>
      </c>
      <c r="L17" s="34" t="s">
        <v>66</v>
      </c>
      <c r="M17" s="36">
        <v>44260</v>
      </c>
      <c r="N17" s="37">
        <f t="shared" si="0"/>
        <v>14</v>
      </c>
      <c r="O17" s="34">
        <v>1</v>
      </c>
      <c r="P17" s="97" t="s">
        <v>612</v>
      </c>
      <c r="Q17" s="34" t="s">
        <v>613</v>
      </c>
      <c r="R17" s="34" t="s">
        <v>588</v>
      </c>
      <c r="S17" s="49">
        <f t="shared" si="1"/>
        <v>5.4771212547196626</v>
      </c>
      <c r="T17" s="55">
        <v>300000</v>
      </c>
      <c r="U17" s="55">
        <f t="shared" si="2"/>
        <v>5.4771212547196626</v>
      </c>
      <c r="V17" s="53">
        <v>9</v>
      </c>
      <c r="W17" s="49">
        <v>1</v>
      </c>
      <c r="X17" s="135" t="s">
        <v>614</v>
      </c>
      <c r="Y17" s="56">
        <v>74506.529635827799</v>
      </c>
      <c r="Z17" s="57">
        <f t="shared" si="4"/>
        <v>4.8721943353059221</v>
      </c>
      <c r="AA17" s="102"/>
      <c r="AB17" s="378"/>
      <c r="AC17" s="43">
        <v>18673.876035135581</v>
      </c>
      <c r="AD17" s="43">
        <f t="shared" si="6"/>
        <v>4.2712344714551316</v>
      </c>
      <c r="AE17" s="45">
        <v>55000</v>
      </c>
      <c r="AF17" s="43">
        <f>LOG10(AE17)</f>
        <v>4.7403626894942441</v>
      </c>
      <c r="AG17" s="46">
        <v>3.7403626894942437</v>
      </c>
      <c r="AH17" s="100">
        <f>LOG10(AG17)</f>
        <v>0.57291371621357179</v>
      </c>
      <c r="AI17" s="40" t="s">
        <v>60</v>
      </c>
      <c r="AJ17" s="40">
        <v>14</v>
      </c>
      <c r="AK17" s="40" t="s">
        <v>30</v>
      </c>
      <c r="AL17" s="47"/>
      <c r="AM17" s="40" t="s">
        <v>57</v>
      </c>
      <c r="AN17" s="40">
        <v>5</v>
      </c>
      <c r="AO17" s="40">
        <v>4</v>
      </c>
      <c r="AP17" s="34">
        <f>SUM(AM17,AO17)</f>
        <v>4</v>
      </c>
    </row>
    <row r="18" spans="1:42" ht="15" customHeight="1" x14ac:dyDescent="0.25">
      <c r="A18" s="32" t="s">
        <v>447</v>
      </c>
      <c r="B18" s="32" t="s">
        <v>58</v>
      </c>
      <c r="C18" s="32" t="s">
        <v>589</v>
      </c>
      <c r="D18" s="32" t="s">
        <v>589</v>
      </c>
      <c r="E18" s="33" t="s">
        <v>31</v>
      </c>
      <c r="F18" s="33" t="s">
        <v>31</v>
      </c>
      <c r="G18" s="34" t="s">
        <v>61</v>
      </c>
      <c r="H18" s="34">
        <v>22</v>
      </c>
      <c r="I18" s="34" t="s">
        <v>586</v>
      </c>
      <c r="J18" s="35">
        <v>44231</v>
      </c>
      <c r="K18" s="36">
        <v>44246</v>
      </c>
      <c r="L18" s="34" t="s">
        <v>66</v>
      </c>
      <c r="M18" s="36">
        <v>44260</v>
      </c>
      <c r="N18" s="37">
        <f t="shared" si="0"/>
        <v>14</v>
      </c>
      <c r="O18" s="34">
        <v>1</v>
      </c>
      <c r="P18" s="97"/>
      <c r="Q18" s="34" t="s">
        <v>588</v>
      </c>
      <c r="R18" s="34" t="s">
        <v>588</v>
      </c>
      <c r="S18" s="49">
        <f t="shared" si="1"/>
        <v>5.4771212547196626</v>
      </c>
      <c r="T18" s="55">
        <v>300000</v>
      </c>
      <c r="U18" s="55">
        <f t="shared" si="2"/>
        <v>5.4771212547196626</v>
      </c>
      <c r="V18" s="49">
        <v>15</v>
      </c>
      <c r="W18" s="49">
        <v>2</v>
      </c>
      <c r="X18" s="49" t="s">
        <v>615</v>
      </c>
      <c r="Y18" s="49">
        <v>4.9520925660864972</v>
      </c>
      <c r="Z18" s="51">
        <f t="shared" si="4"/>
        <v>0.69478875405827534</v>
      </c>
      <c r="AA18" s="125"/>
      <c r="AB18" s="377"/>
      <c r="AC18" s="34">
        <v>4.3305653867897806</v>
      </c>
      <c r="AD18" s="34">
        <f t="shared" si="6"/>
        <v>0.63654460035647042</v>
      </c>
      <c r="AE18" s="34">
        <v>0</v>
      </c>
      <c r="AF18" s="34">
        <v>0</v>
      </c>
      <c r="AG18" s="34">
        <v>0</v>
      </c>
      <c r="AH18" s="34">
        <v>0</v>
      </c>
      <c r="AI18" s="34" t="s">
        <v>29</v>
      </c>
      <c r="AJ18" s="34">
        <v>14</v>
      </c>
      <c r="AK18" s="125"/>
      <c r="AL18" s="52"/>
      <c r="AM18" s="34" t="s">
        <v>447</v>
      </c>
      <c r="AN18" s="34">
        <v>4</v>
      </c>
      <c r="AO18" s="34">
        <v>3</v>
      </c>
      <c r="AP18" s="34">
        <f>SUM(AM18,AO18)</f>
        <v>3</v>
      </c>
    </row>
    <row r="19" spans="1:42" ht="15" customHeight="1" x14ac:dyDescent="0.25">
      <c r="A19" s="32" t="s">
        <v>449</v>
      </c>
      <c r="B19" s="32" t="s">
        <v>58</v>
      </c>
      <c r="C19" s="32" t="s">
        <v>589</v>
      </c>
      <c r="D19" s="32" t="s">
        <v>589</v>
      </c>
      <c r="E19" s="33" t="s">
        <v>31</v>
      </c>
      <c r="F19" s="33" t="s">
        <v>31</v>
      </c>
      <c r="G19" s="34" t="s">
        <v>61</v>
      </c>
      <c r="H19" s="80">
        <v>18</v>
      </c>
      <c r="I19" s="80" t="s">
        <v>586</v>
      </c>
      <c r="J19" s="35">
        <v>44231</v>
      </c>
      <c r="K19" s="36">
        <v>44247</v>
      </c>
      <c r="L19" s="34" t="s">
        <v>66</v>
      </c>
      <c r="M19" s="36">
        <v>44260</v>
      </c>
      <c r="N19" s="37">
        <f t="shared" si="0"/>
        <v>13</v>
      </c>
      <c r="O19" s="34">
        <v>1</v>
      </c>
      <c r="P19" s="97"/>
      <c r="Q19" s="34" t="s">
        <v>588</v>
      </c>
      <c r="R19" s="34" t="s">
        <v>588</v>
      </c>
      <c r="S19" s="49">
        <f t="shared" si="1"/>
        <v>5.4771212547196626</v>
      </c>
      <c r="T19" s="55">
        <v>300000</v>
      </c>
      <c r="U19" s="55">
        <f t="shared" si="2"/>
        <v>5.4771212547196626</v>
      </c>
      <c r="V19" s="49">
        <v>24</v>
      </c>
      <c r="W19" s="49">
        <v>2</v>
      </c>
      <c r="X19" s="49" t="s">
        <v>616</v>
      </c>
      <c r="Y19" s="49">
        <v>4.267939841165874</v>
      </c>
      <c r="Z19" s="51">
        <f t="shared" si="4"/>
        <v>0.63021828918874156</v>
      </c>
      <c r="AA19" s="125"/>
      <c r="AB19" s="126"/>
      <c r="AC19" s="34">
        <v>4.4334433192113449</v>
      </c>
      <c r="AD19" s="34">
        <f t="shared" si="6"/>
        <v>0.64674116045811614</v>
      </c>
      <c r="AE19" s="34">
        <v>0</v>
      </c>
      <c r="AF19" s="34">
        <v>0</v>
      </c>
      <c r="AG19" s="34">
        <v>0</v>
      </c>
      <c r="AH19" s="34">
        <v>0</v>
      </c>
      <c r="AI19" s="34" t="s">
        <v>29</v>
      </c>
      <c r="AJ19" s="34">
        <v>14</v>
      </c>
      <c r="AK19" s="125"/>
      <c r="AL19" s="52"/>
      <c r="AM19" s="34" t="s">
        <v>449</v>
      </c>
      <c r="AN19" s="34">
        <v>5</v>
      </c>
      <c r="AO19" s="34">
        <v>3</v>
      </c>
      <c r="AP19" s="34">
        <f>SUM(AM19,AO19)</f>
        <v>3</v>
      </c>
    </row>
    <row r="20" spans="1:42" ht="15" customHeight="1" x14ac:dyDescent="0.25">
      <c r="A20" s="32" t="s">
        <v>62</v>
      </c>
      <c r="B20" s="32" t="s">
        <v>58</v>
      </c>
      <c r="C20" s="32" t="s">
        <v>584</v>
      </c>
      <c r="D20" s="32" t="s">
        <v>584</v>
      </c>
      <c r="E20" s="48" t="s">
        <v>26</v>
      </c>
      <c r="F20" s="48" t="s">
        <v>26</v>
      </c>
      <c r="G20" s="34" t="s">
        <v>617</v>
      </c>
      <c r="H20" s="34">
        <v>18</v>
      </c>
      <c r="I20" s="34" t="s">
        <v>586</v>
      </c>
      <c r="J20" s="35">
        <v>44231</v>
      </c>
      <c r="K20" s="36">
        <v>44248</v>
      </c>
      <c r="L20" s="34" t="s">
        <v>66</v>
      </c>
      <c r="M20" s="36">
        <v>44260</v>
      </c>
      <c r="N20" s="37">
        <f t="shared" si="0"/>
        <v>12</v>
      </c>
      <c r="O20" s="34">
        <v>1</v>
      </c>
      <c r="P20" s="97"/>
      <c r="Q20" s="34" t="s">
        <v>613</v>
      </c>
      <c r="R20" s="34" t="s">
        <v>588</v>
      </c>
      <c r="S20" s="49">
        <f t="shared" si="1"/>
        <v>5.4771212547196626</v>
      </c>
      <c r="T20" s="55">
        <v>300000</v>
      </c>
      <c r="U20" s="55">
        <f t="shared" si="2"/>
        <v>5.4771212547196626</v>
      </c>
      <c r="V20" s="53">
        <v>11</v>
      </c>
      <c r="W20" s="53">
        <v>0</v>
      </c>
      <c r="X20" s="53">
        <v>0</v>
      </c>
      <c r="Y20" s="56">
        <v>1874361.3927918421</v>
      </c>
      <c r="Z20" s="57">
        <f t="shared" si="4"/>
        <v>6.2728533302890011</v>
      </c>
      <c r="AA20" s="56">
        <v>4.1314677078450197</v>
      </c>
      <c r="AB20" s="100">
        <f>LOG10(AA20)</f>
        <v>0.61610436259663237</v>
      </c>
      <c r="AC20" s="43">
        <v>15235.076569378962</v>
      </c>
      <c r="AD20" s="43">
        <f t="shared" si="6"/>
        <v>4.1828446412679279</v>
      </c>
      <c r="AE20" s="45">
        <v>250</v>
      </c>
      <c r="AF20" s="43">
        <f>LOG10(AE20)</f>
        <v>2.3979400086720375</v>
      </c>
      <c r="AG20" s="43">
        <v>0</v>
      </c>
      <c r="AH20" s="43">
        <v>0</v>
      </c>
      <c r="AI20" s="40" t="s">
        <v>60</v>
      </c>
      <c r="AJ20" s="40">
        <v>14</v>
      </c>
      <c r="AK20" s="40" t="s">
        <v>30</v>
      </c>
      <c r="AL20" s="47"/>
      <c r="AM20" s="40" t="s">
        <v>62</v>
      </c>
      <c r="AN20" s="40">
        <v>0</v>
      </c>
      <c r="AO20" s="40">
        <v>0</v>
      </c>
      <c r="AP20" s="34">
        <f>SUM(AM20,AO20)</f>
        <v>0</v>
      </c>
    </row>
    <row r="21" spans="1:42" ht="15" customHeight="1" x14ac:dyDescent="0.25">
      <c r="A21" s="32" t="s">
        <v>63</v>
      </c>
      <c r="B21" s="32" t="s">
        <v>58</v>
      </c>
      <c r="C21" s="32" t="s">
        <v>584</v>
      </c>
      <c r="D21" s="32" t="s">
        <v>584</v>
      </c>
      <c r="E21" s="48" t="s">
        <v>26</v>
      </c>
      <c r="F21" s="48" t="s">
        <v>26</v>
      </c>
      <c r="G21" s="34" t="s">
        <v>61</v>
      </c>
      <c r="H21" s="80">
        <v>19</v>
      </c>
      <c r="I21" s="80" t="s">
        <v>586</v>
      </c>
      <c r="J21" s="35">
        <v>44231</v>
      </c>
      <c r="K21" s="36">
        <v>44249</v>
      </c>
      <c r="L21" s="34" t="s">
        <v>66</v>
      </c>
      <c r="M21" s="36">
        <v>44260</v>
      </c>
      <c r="N21" s="37">
        <f t="shared" si="0"/>
        <v>11</v>
      </c>
      <c r="O21" s="34">
        <v>1</v>
      </c>
      <c r="P21" s="97"/>
      <c r="Q21" s="34" t="s">
        <v>613</v>
      </c>
      <c r="R21" s="34" t="s">
        <v>588</v>
      </c>
      <c r="S21" s="49">
        <f t="shared" si="1"/>
        <v>5.4771212547196626</v>
      </c>
      <c r="T21" s="55">
        <v>300000</v>
      </c>
      <c r="U21" s="55">
        <f t="shared" si="2"/>
        <v>5.4771212547196626</v>
      </c>
      <c r="V21" s="53">
        <v>26</v>
      </c>
      <c r="W21" s="53">
        <v>0</v>
      </c>
      <c r="X21" s="53">
        <v>0</v>
      </c>
      <c r="Y21" s="56">
        <v>100869.2950937344</v>
      </c>
      <c r="Z21" s="57">
        <f t="shared" si="4"/>
        <v>5.0037589858528211</v>
      </c>
      <c r="AA21" s="56">
        <v>5.3682636473952599</v>
      </c>
      <c r="AB21" s="92">
        <f>LOG10(AA21)</f>
        <v>0.72983383685489867</v>
      </c>
      <c r="AC21" s="43">
        <v>18224.160950920199</v>
      </c>
      <c r="AD21" s="43">
        <f t="shared" si="6"/>
        <v>4.2606475423247874</v>
      </c>
      <c r="AE21" s="43">
        <v>0</v>
      </c>
      <c r="AF21" s="43">
        <v>0</v>
      </c>
      <c r="AG21" s="43">
        <v>0</v>
      </c>
      <c r="AH21" s="43">
        <v>0</v>
      </c>
      <c r="AI21" s="40" t="s">
        <v>60</v>
      </c>
      <c r="AJ21" s="40">
        <v>14</v>
      </c>
      <c r="AK21" s="40" t="s">
        <v>30</v>
      </c>
      <c r="AL21" s="47"/>
      <c r="AM21" s="40" t="s">
        <v>63</v>
      </c>
      <c r="AN21" s="40">
        <v>0</v>
      </c>
      <c r="AO21" s="40">
        <v>0</v>
      </c>
      <c r="AP21" s="34">
        <f>SUM(AM21,AO21)</f>
        <v>0</v>
      </c>
    </row>
    <row r="22" spans="1:42" ht="15" customHeight="1" x14ac:dyDescent="0.25">
      <c r="A22" s="32" t="s">
        <v>471</v>
      </c>
      <c r="B22" s="32" t="s">
        <v>176</v>
      </c>
      <c r="C22" s="32" t="s">
        <v>589</v>
      </c>
      <c r="D22" s="32" t="s">
        <v>589</v>
      </c>
      <c r="E22" s="33" t="s">
        <v>31</v>
      </c>
      <c r="F22" s="48" t="s">
        <v>26</v>
      </c>
      <c r="G22" s="34" t="s">
        <v>600</v>
      </c>
      <c r="H22" s="34" t="s">
        <v>596</v>
      </c>
      <c r="I22" s="34" t="s">
        <v>597</v>
      </c>
      <c r="J22" s="35">
        <v>44534</v>
      </c>
      <c r="K22" s="36">
        <v>44547</v>
      </c>
      <c r="L22" s="34" t="s">
        <v>66</v>
      </c>
      <c r="M22" s="36">
        <v>44580</v>
      </c>
      <c r="N22" s="37">
        <f t="shared" si="0"/>
        <v>33</v>
      </c>
      <c r="O22" s="34">
        <v>1</v>
      </c>
      <c r="P22" s="97"/>
      <c r="Q22" s="34" t="s">
        <v>588</v>
      </c>
      <c r="R22" s="34" t="s">
        <v>588</v>
      </c>
      <c r="S22" s="34">
        <f t="shared" si="1"/>
        <v>3.6989700043360187</v>
      </c>
      <c r="T22" s="55">
        <v>5000</v>
      </c>
      <c r="U22" s="55">
        <f t="shared" si="2"/>
        <v>3.6989700043360187</v>
      </c>
      <c r="V22" s="49">
        <v>10</v>
      </c>
      <c r="W22" s="41">
        <v>3</v>
      </c>
      <c r="X22" s="41" t="s">
        <v>630</v>
      </c>
      <c r="Y22" s="49">
        <v>0</v>
      </c>
      <c r="Z22" s="412"/>
      <c r="AA22" s="125"/>
      <c r="AB22" s="125"/>
      <c r="AC22" s="49">
        <v>8.266299464921202</v>
      </c>
      <c r="AD22" s="49">
        <f t="shared" si="6"/>
        <v>0.91731113450569313</v>
      </c>
      <c r="AE22" s="49">
        <v>0</v>
      </c>
      <c r="AF22" s="49">
        <v>0</v>
      </c>
      <c r="AG22" s="391">
        <v>0</v>
      </c>
      <c r="AH22" s="54">
        <v>0</v>
      </c>
      <c r="AI22" s="49" t="s">
        <v>60</v>
      </c>
      <c r="AJ22" s="49">
        <v>14</v>
      </c>
      <c r="AK22" s="125"/>
      <c r="AL22" s="179"/>
      <c r="AM22" s="34" t="s">
        <v>471</v>
      </c>
      <c r="AN22" s="34">
        <v>2</v>
      </c>
      <c r="AO22" s="34">
        <v>0</v>
      </c>
      <c r="AP22" s="34">
        <f>SUM(AM26,AO26)</f>
        <v>0</v>
      </c>
    </row>
    <row r="23" spans="1:42" ht="15" customHeight="1" x14ac:dyDescent="0.25">
      <c r="A23" s="103" t="s">
        <v>321</v>
      </c>
      <c r="B23" s="103" t="s">
        <v>320</v>
      </c>
      <c r="C23" s="103" t="s">
        <v>589</v>
      </c>
      <c r="D23" s="103" t="s">
        <v>589</v>
      </c>
      <c r="E23" s="141" t="s">
        <v>26</v>
      </c>
      <c r="F23" s="141" t="s">
        <v>26</v>
      </c>
      <c r="G23" s="105" t="s">
        <v>61</v>
      </c>
      <c r="H23" s="80">
        <v>10</v>
      </c>
      <c r="I23" s="80" t="s">
        <v>639</v>
      </c>
      <c r="J23" s="106">
        <v>44727</v>
      </c>
      <c r="K23" s="107">
        <v>44741</v>
      </c>
      <c r="L23" s="105" t="s">
        <v>312</v>
      </c>
      <c r="M23" s="107">
        <v>44876</v>
      </c>
      <c r="N23" s="109">
        <f t="shared" si="0"/>
        <v>135</v>
      </c>
      <c r="O23" s="105">
        <v>1</v>
      </c>
      <c r="P23" s="110"/>
      <c r="Q23" s="105" t="s">
        <v>588</v>
      </c>
      <c r="R23" s="105" t="s">
        <v>588</v>
      </c>
      <c r="S23" s="105">
        <f t="shared" si="1"/>
        <v>5.5774917998372251</v>
      </c>
      <c r="T23" s="105">
        <v>378000</v>
      </c>
      <c r="U23" s="105">
        <f t="shared" si="2"/>
        <v>5.5774917998372251</v>
      </c>
      <c r="V23" s="105">
        <v>14</v>
      </c>
      <c r="W23" s="114">
        <v>2</v>
      </c>
      <c r="X23" s="114">
        <v>2</v>
      </c>
      <c r="Y23" s="105">
        <v>0</v>
      </c>
      <c r="Z23" s="413"/>
      <c r="AA23" s="170"/>
      <c r="AB23" s="163"/>
      <c r="AC23" s="105">
        <v>7.5037664730147311</v>
      </c>
      <c r="AD23" s="105">
        <f t="shared" si="6"/>
        <v>0.87527930977143253</v>
      </c>
      <c r="AE23" s="105">
        <v>0.69897000433601886</v>
      </c>
      <c r="AF23" s="105">
        <f>LOG10(AE23)</f>
        <v>-0.15554146120834425</v>
      </c>
      <c r="AG23" s="66">
        <v>0</v>
      </c>
      <c r="AH23" s="105">
        <v>0</v>
      </c>
      <c r="AI23" s="105" t="s">
        <v>29</v>
      </c>
      <c r="AJ23" s="105">
        <v>14</v>
      </c>
      <c r="AK23" s="170"/>
      <c r="AL23" s="117" t="s">
        <v>640</v>
      </c>
      <c r="AM23" s="105" t="s">
        <v>321</v>
      </c>
      <c r="AN23" s="105">
        <v>0</v>
      </c>
      <c r="AO23" s="105">
        <v>0</v>
      </c>
      <c r="AP23" s="105">
        <f>SUM(AM28,AO28)</f>
        <v>2</v>
      </c>
    </row>
    <row r="24" spans="1:42" ht="15" customHeight="1" x14ac:dyDescent="0.25">
      <c r="A24" s="15" t="s">
        <v>655</v>
      </c>
      <c r="B24" s="15" t="s">
        <v>89</v>
      </c>
      <c r="C24" s="15" t="s">
        <v>584</v>
      </c>
      <c r="D24" s="15" t="s">
        <v>584</v>
      </c>
      <c r="E24" s="16" t="s">
        <v>26</v>
      </c>
      <c r="F24" s="16" t="s">
        <v>26</v>
      </c>
      <c r="G24" s="18" t="s">
        <v>61</v>
      </c>
      <c r="H24" s="18">
        <v>20</v>
      </c>
      <c r="I24" s="18" t="s">
        <v>586</v>
      </c>
      <c r="J24" s="20">
        <v>44610</v>
      </c>
      <c r="K24" s="20">
        <v>44622</v>
      </c>
      <c r="L24" s="18" t="s">
        <v>66</v>
      </c>
      <c r="M24" s="20">
        <v>44628</v>
      </c>
      <c r="N24" s="21">
        <f t="shared" si="0"/>
        <v>6</v>
      </c>
      <c r="O24" s="18">
        <v>1</v>
      </c>
      <c r="P24" s="18" t="s">
        <v>612</v>
      </c>
      <c r="Q24" s="119" t="s">
        <v>656</v>
      </c>
      <c r="R24" s="119" t="s">
        <v>81</v>
      </c>
      <c r="S24" s="119">
        <f t="shared" si="1"/>
        <v>4.9030899869919438</v>
      </c>
      <c r="T24" s="120">
        <v>80000</v>
      </c>
      <c r="U24" s="120">
        <f t="shared" si="2"/>
        <v>4.9030899869919438</v>
      </c>
      <c r="V24" s="118">
        <v>18</v>
      </c>
      <c r="W24" s="124">
        <v>0</v>
      </c>
      <c r="X24" s="124">
        <v>0</v>
      </c>
      <c r="Y24" s="369">
        <v>62232.785121239867</v>
      </c>
      <c r="Z24" s="414">
        <f>LOG10(Y24)</f>
        <v>4.7940192375218249</v>
      </c>
      <c r="AA24" s="374"/>
      <c r="AB24" s="26"/>
      <c r="AC24" s="26">
        <v>2270.1672776415598</v>
      </c>
      <c r="AD24" s="26">
        <f t="shared" si="6"/>
        <v>3.3560578594310426</v>
      </c>
      <c r="AE24" s="118">
        <v>0</v>
      </c>
      <c r="AF24" s="118">
        <v>0</v>
      </c>
      <c r="AG24" s="378"/>
      <c r="AH24" s="93"/>
      <c r="AI24" s="118" t="s">
        <v>60</v>
      </c>
      <c r="AJ24" s="124">
        <v>14</v>
      </c>
      <c r="AK24" s="118" t="s">
        <v>30</v>
      </c>
      <c r="AL24" s="399"/>
      <c r="AM24" s="118" t="s">
        <v>655</v>
      </c>
      <c r="AN24" s="118">
        <v>0</v>
      </c>
      <c r="AO24" s="118">
        <v>0</v>
      </c>
      <c r="AP24" s="18">
        <f>SUM(AM45,AO45)</f>
        <v>4</v>
      </c>
    </row>
    <row r="25" spans="1:42" ht="15" customHeight="1" x14ac:dyDescent="0.25">
      <c r="A25" s="32" t="s">
        <v>470</v>
      </c>
      <c r="B25" s="32" t="s">
        <v>176</v>
      </c>
      <c r="C25" s="32" t="s">
        <v>584</v>
      </c>
      <c r="D25" s="32" t="s">
        <v>584</v>
      </c>
      <c r="E25" s="48" t="s">
        <v>26</v>
      </c>
      <c r="F25" s="48" t="s">
        <v>26</v>
      </c>
      <c r="G25" s="34" t="s">
        <v>61</v>
      </c>
      <c r="H25" s="34" t="s">
        <v>596</v>
      </c>
      <c r="I25" s="34" t="s">
        <v>597</v>
      </c>
      <c r="J25" s="35">
        <v>44534</v>
      </c>
      <c r="K25" s="36">
        <v>44547</v>
      </c>
      <c r="L25" s="34" t="s">
        <v>66</v>
      </c>
      <c r="M25" s="36">
        <v>44580</v>
      </c>
      <c r="N25" s="37">
        <f t="shared" si="0"/>
        <v>33</v>
      </c>
      <c r="O25" s="34">
        <v>1</v>
      </c>
      <c r="P25" s="97"/>
      <c r="Q25" s="34" t="s">
        <v>588</v>
      </c>
      <c r="R25" s="34" t="s">
        <v>588</v>
      </c>
      <c r="S25" s="34">
        <f t="shared" si="1"/>
        <v>3.6989700043360187</v>
      </c>
      <c r="T25" s="55">
        <v>5000</v>
      </c>
      <c r="U25" s="55">
        <f t="shared" si="2"/>
        <v>3.6989700043360187</v>
      </c>
      <c r="V25" s="53">
        <v>15</v>
      </c>
      <c r="W25" s="53">
        <v>0</v>
      </c>
      <c r="X25" s="53">
        <v>0</v>
      </c>
      <c r="Y25" s="56">
        <v>1</v>
      </c>
      <c r="Z25" s="57">
        <f>LOG10(Y25)</f>
        <v>0</v>
      </c>
      <c r="AA25" s="56">
        <v>7.3140214828410599</v>
      </c>
      <c r="AB25" s="131">
        <f>LOG10(AA25)</f>
        <v>0.86415623161942046</v>
      </c>
      <c r="AC25" s="55">
        <v>9010000000</v>
      </c>
      <c r="AD25" s="55">
        <f t="shared" si="6"/>
        <v>9.9547247909790624</v>
      </c>
      <c r="AE25" s="49">
        <v>0</v>
      </c>
      <c r="AF25" s="56">
        <v>0</v>
      </c>
      <c r="AG25" s="54">
        <v>0</v>
      </c>
      <c r="AH25" s="54">
        <v>0</v>
      </c>
      <c r="AI25" s="53" t="s">
        <v>60</v>
      </c>
      <c r="AJ25" s="53">
        <v>13</v>
      </c>
      <c r="AK25" s="53" t="s">
        <v>30</v>
      </c>
      <c r="AL25" s="138"/>
      <c r="AM25" s="40" t="s">
        <v>470</v>
      </c>
      <c r="AN25" s="40">
        <v>0</v>
      </c>
      <c r="AO25" s="40">
        <v>0</v>
      </c>
      <c r="AP25" s="34">
        <f>SUM(AM29,AO29)</f>
        <v>4</v>
      </c>
    </row>
    <row r="26" spans="1:42" ht="15" customHeight="1" x14ac:dyDescent="0.25">
      <c r="A26" s="32" t="s">
        <v>473</v>
      </c>
      <c r="B26" s="32" t="s">
        <v>176</v>
      </c>
      <c r="C26" s="32" t="s">
        <v>584</v>
      </c>
      <c r="D26" s="32" t="s">
        <v>584</v>
      </c>
      <c r="E26" s="48" t="s">
        <v>26</v>
      </c>
      <c r="F26" s="48" t="s">
        <v>26</v>
      </c>
      <c r="G26" s="34" t="s">
        <v>61</v>
      </c>
      <c r="H26" s="34" t="s">
        <v>596</v>
      </c>
      <c r="I26" s="34" t="s">
        <v>597</v>
      </c>
      <c r="J26" s="35">
        <v>44534</v>
      </c>
      <c r="K26" s="36">
        <v>44547</v>
      </c>
      <c r="L26" s="34" t="s">
        <v>66</v>
      </c>
      <c r="M26" s="36">
        <v>44580</v>
      </c>
      <c r="N26" s="37">
        <f t="shared" si="0"/>
        <v>33</v>
      </c>
      <c r="O26" s="34">
        <v>1</v>
      </c>
      <c r="P26" s="97"/>
      <c r="Q26" s="34" t="s">
        <v>588</v>
      </c>
      <c r="R26" s="34" t="s">
        <v>588</v>
      </c>
      <c r="S26" s="34">
        <f t="shared" si="1"/>
        <v>3.6989700043360187</v>
      </c>
      <c r="T26" s="55">
        <v>5000</v>
      </c>
      <c r="U26" s="55">
        <f t="shared" si="2"/>
        <v>3.6989700043360187</v>
      </c>
      <c r="V26" s="53">
        <v>14</v>
      </c>
      <c r="W26" s="53">
        <v>0</v>
      </c>
      <c r="X26" s="53">
        <v>0</v>
      </c>
      <c r="Y26" s="56">
        <v>1</v>
      </c>
      <c r="Z26" s="57">
        <f>LOG10(Y26)</f>
        <v>0</v>
      </c>
      <c r="AA26" s="56">
        <v>7.5094554252672401</v>
      </c>
      <c r="AB26" s="131">
        <f>LOG10(AA26)</f>
        <v>0.87560844374494839</v>
      </c>
      <c r="AC26" s="55">
        <v>1670000</v>
      </c>
      <c r="AD26" s="55">
        <f t="shared" si="6"/>
        <v>6.2227164711475833</v>
      </c>
      <c r="AE26" s="49">
        <v>0</v>
      </c>
      <c r="AF26" s="56">
        <v>0</v>
      </c>
      <c r="AG26" s="54">
        <v>0</v>
      </c>
      <c r="AH26" s="56">
        <v>0</v>
      </c>
      <c r="AI26" s="53" t="s">
        <v>60</v>
      </c>
      <c r="AJ26" s="53">
        <v>13</v>
      </c>
      <c r="AK26" s="53" t="s">
        <v>30</v>
      </c>
      <c r="AL26" s="138"/>
      <c r="AM26" s="40" t="s">
        <v>473</v>
      </c>
      <c r="AN26" s="40">
        <v>0</v>
      </c>
      <c r="AO26" s="40">
        <v>0</v>
      </c>
      <c r="AP26" s="34">
        <f>SUM(AM30,AO30)</f>
        <v>0</v>
      </c>
    </row>
    <row r="27" spans="1:42" ht="15" customHeight="1" x14ac:dyDescent="0.25">
      <c r="A27" s="32" t="s">
        <v>480</v>
      </c>
      <c r="B27" s="32" t="s">
        <v>479</v>
      </c>
      <c r="C27" s="32" t="s">
        <v>589</v>
      </c>
      <c r="D27" s="32" t="s">
        <v>589</v>
      </c>
      <c r="E27" s="33" t="s">
        <v>31</v>
      </c>
      <c r="F27" s="48" t="s">
        <v>26</v>
      </c>
      <c r="G27" s="49" t="s">
        <v>600</v>
      </c>
      <c r="H27" s="49">
        <v>15</v>
      </c>
      <c r="I27" s="49" t="s">
        <v>591</v>
      </c>
      <c r="J27" s="239">
        <v>44812</v>
      </c>
      <c r="K27" s="239">
        <v>44823</v>
      </c>
      <c r="L27" s="49" t="s">
        <v>66</v>
      </c>
      <c r="M27" s="239">
        <v>44849</v>
      </c>
      <c r="N27" s="37">
        <f t="shared" si="0"/>
        <v>26</v>
      </c>
      <c r="O27" s="49">
        <v>1</v>
      </c>
      <c r="P27" s="349"/>
      <c r="Q27" s="49" t="s">
        <v>631</v>
      </c>
      <c r="R27" s="34" t="s">
        <v>632</v>
      </c>
      <c r="S27" s="49">
        <f t="shared" si="1"/>
        <v>5</v>
      </c>
      <c r="T27" s="49">
        <v>100000</v>
      </c>
      <c r="U27" s="49">
        <f t="shared" si="2"/>
        <v>5</v>
      </c>
      <c r="V27" s="49">
        <v>11</v>
      </c>
      <c r="W27" s="49">
        <v>3</v>
      </c>
      <c r="X27" s="49">
        <v>3</v>
      </c>
      <c r="Y27" s="34">
        <v>1</v>
      </c>
      <c r="Z27" s="415">
        <f>LOG10(Y27)</f>
        <v>0</v>
      </c>
      <c r="AA27" s="197"/>
      <c r="AB27" s="163"/>
      <c r="AC27" s="34">
        <v>278800000</v>
      </c>
      <c r="AD27" s="34">
        <f t="shared" si="6"/>
        <v>8.4452927694259721</v>
      </c>
      <c r="AE27" s="41">
        <v>4.1583624920952493</v>
      </c>
      <c r="AF27" s="41"/>
      <c r="AG27" s="41">
        <v>0</v>
      </c>
      <c r="AH27" s="41">
        <v>0</v>
      </c>
      <c r="AI27" s="49" t="s">
        <v>29</v>
      </c>
      <c r="AJ27" s="34">
        <v>11</v>
      </c>
      <c r="AK27" s="125"/>
      <c r="AL27" s="52"/>
      <c r="AM27" s="34" t="s">
        <v>480</v>
      </c>
      <c r="AN27" s="34">
        <v>4</v>
      </c>
      <c r="AO27" s="34">
        <v>0</v>
      </c>
      <c r="AP27" s="34">
        <f>SUM(AM31,AO31)</f>
        <v>1</v>
      </c>
    </row>
    <row r="28" spans="1:42" ht="15" customHeight="1" x14ac:dyDescent="0.25">
      <c r="A28" s="32" t="s">
        <v>444</v>
      </c>
      <c r="B28" s="32" t="s">
        <v>147</v>
      </c>
      <c r="C28" s="32" t="s">
        <v>589</v>
      </c>
      <c r="D28" s="32" t="s">
        <v>584</v>
      </c>
      <c r="E28" s="33" t="s">
        <v>31</v>
      </c>
      <c r="F28" s="33" t="s">
        <v>31</v>
      </c>
      <c r="G28" s="34" t="s">
        <v>61</v>
      </c>
      <c r="H28" s="34" t="s">
        <v>596</v>
      </c>
      <c r="I28" s="34" t="s">
        <v>597</v>
      </c>
      <c r="J28" s="35">
        <v>44461</v>
      </c>
      <c r="K28" s="36">
        <v>44468</v>
      </c>
      <c r="L28" s="96" t="s">
        <v>66</v>
      </c>
      <c r="M28" s="36">
        <v>44504</v>
      </c>
      <c r="N28" s="37">
        <f t="shared" si="0"/>
        <v>36</v>
      </c>
      <c r="O28" s="34">
        <v>1</v>
      </c>
      <c r="P28" s="97"/>
      <c r="Q28" s="98" t="s">
        <v>587</v>
      </c>
      <c r="R28" s="98" t="s">
        <v>588</v>
      </c>
      <c r="S28" s="99">
        <f t="shared" si="1"/>
        <v>3.6989700043360187</v>
      </c>
      <c r="T28" s="55">
        <v>5000</v>
      </c>
      <c r="U28" s="55">
        <f t="shared" si="2"/>
        <v>3.6989700043360187</v>
      </c>
      <c r="V28" s="49">
        <v>17</v>
      </c>
      <c r="W28" s="41">
        <v>2</v>
      </c>
      <c r="X28" s="42" t="s">
        <v>610</v>
      </c>
      <c r="Y28" s="100">
        <v>8.5503610699999992</v>
      </c>
      <c r="Z28" s="407">
        <f>LOG10(Y28)</f>
        <v>0.93198445477467362</v>
      </c>
      <c r="AA28" s="100">
        <v>10.308934885532</v>
      </c>
      <c r="AB28" s="92">
        <f>LOG10(AA28)</f>
        <v>1.0132137964928611</v>
      </c>
      <c r="AC28" s="98">
        <v>6.7166518999999996</v>
      </c>
      <c r="AD28" s="98">
        <f t="shared" si="6"/>
        <v>0.82715284095514829</v>
      </c>
      <c r="AE28" s="101"/>
      <c r="AF28" s="101"/>
      <c r="AG28" s="101"/>
      <c r="AH28" s="101"/>
      <c r="AI28" s="34" t="s">
        <v>29</v>
      </c>
      <c r="AJ28" s="34">
        <v>7</v>
      </c>
      <c r="AK28" s="34" t="s">
        <v>30</v>
      </c>
      <c r="AL28" s="52"/>
      <c r="AM28" s="34" t="s">
        <v>444</v>
      </c>
      <c r="AN28" s="34">
        <v>4</v>
      </c>
      <c r="AO28" s="34">
        <v>2</v>
      </c>
      <c r="AP28" s="34">
        <f>SUM(AM28,AO28)</f>
        <v>2</v>
      </c>
    </row>
    <row r="29" spans="1:42" ht="15" customHeight="1" x14ac:dyDescent="0.25">
      <c r="A29" s="58" t="s">
        <v>445</v>
      </c>
      <c r="B29" s="58" t="s">
        <v>147</v>
      </c>
      <c r="C29" s="58" t="s">
        <v>589</v>
      </c>
      <c r="D29" s="58" t="s">
        <v>584</v>
      </c>
      <c r="E29" s="60" t="s">
        <v>31</v>
      </c>
      <c r="F29" s="60" t="s">
        <v>31</v>
      </c>
      <c r="G29" s="61" t="s">
        <v>61</v>
      </c>
      <c r="H29" s="61" t="s">
        <v>596</v>
      </c>
      <c r="I29" s="61" t="s">
        <v>597</v>
      </c>
      <c r="J29" s="62">
        <v>44461</v>
      </c>
      <c r="K29" s="63">
        <v>44487</v>
      </c>
      <c r="L29" s="347" t="s">
        <v>66</v>
      </c>
      <c r="M29" s="63">
        <v>44504</v>
      </c>
      <c r="N29" s="64">
        <f t="shared" si="0"/>
        <v>17</v>
      </c>
      <c r="O29" s="61">
        <v>1</v>
      </c>
      <c r="P29" s="110"/>
      <c r="Q29" s="354" t="s">
        <v>587</v>
      </c>
      <c r="R29" s="354" t="s">
        <v>588</v>
      </c>
      <c r="S29" s="356">
        <f t="shared" si="1"/>
        <v>3.6989700043360187</v>
      </c>
      <c r="T29" s="67">
        <v>5000</v>
      </c>
      <c r="U29" s="67">
        <f t="shared" si="2"/>
        <v>3.6989700043360187</v>
      </c>
      <c r="V29" s="66">
        <v>25</v>
      </c>
      <c r="W29" s="359">
        <v>1</v>
      </c>
      <c r="X29" s="362" t="s">
        <v>611</v>
      </c>
      <c r="Y29" s="367"/>
      <c r="Z29" s="416"/>
      <c r="AA29" s="367"/>
      <c r="AB29" s="378"/>
      <c r="AC29" s="367"/>
      <c r="AD29" s="367"/>
      <c r="AE29" s="368">
        <v>4.1461280356782382</v>
      </c>
      <c r="AF29" s="368">
        <f>LOG10(AE29)</f>
        <v>0.61764270931837528</v>
      </c>
      <c r="AG29" s="58">
        <v>3.1139433523068369</v>
      </c>
      <c r="AH29" s="368">
        <f>LOG10(AG29)</f>
        <v>0.49331070778113001</v>
      </c>
      <c r="AI29" s="61" t="s">
        <v>60</v>
      </c>
      <c r="AJ29" s="61">
        <v>7</v>
      </c>
      <c r="AK29" s="61" t="s">
        <v>30</v>
      </c>
      <c r="AL29" s="204"/>
      <c r="AM29" s="61" t="s">
        <v>445</v>
      </c>
      <c r="AN29" s="61">
        <v>4</v>
      </c>
      <c r="AO29" s="61">
        <v>4</v>
      </c>
      <c r="AP29" s="61">
        <f>SUM(AM29,AO29)</f>
        <v>4</v>
      </c>
    </row>
    <row r="30" spans="1:42" ht="15" customHeight="1" x14ac:dyDescent="0.25">
      <c r="A30" s="78" t="s">
        <v>476</v>
      </c>
      <c r="B30" s="78" t="s">
        <v>475</v>
      </c>
      <c r="C30" s="78" t="s">
        <v>589</v>
      </c>
      <c r="D30" s="78" t="s">
        <v>589</v>
      </c>
      <c r="E30" s="182" t="s">
        <v>26</v>
      </c>
      <c r="F30" s="182" t="s">
        <v>26</v>
      </c>
      <c r="G30" s="80" t="s">
        <v>600</v>
      </c>
      <c r="H30" s="80">
        <v>44</v>
      </c>
      <c r="I30" s="80" t="s">
        <v>586</v>
      </c>
      <c r="J30" s="81">
        <v>44832</v>
      </c>
      <c r="K30" s="82">
        <v>44838</v>
      </c>
      <c r="L30" s="80" t="s">
        <v>66</v>
      </c>
      <c r="M30" s="82">
        <v>44848</v>
      </c>
      <c r="N30" s="84">
        <f t="shared" si="0"/>
        <v>10</v>
      </c>
      <c r="O30" s="80">
        <v>1</v>
      </c>
      <c r="P30" s="129"/>
      <c r="Q30" s="80" t="s">
        <v>613</v>
      </c>
      <c r="R30" s="80" t="s">
        <v>588</v>
      </c>
      <c r="S30" s="89">
        <f t="shared" si="1"/>
        <v>3.6988831367525901</v>
      </c>
      <c r="T30" s="88">
        <v>4999</v>
      </c>
      <c r="U30" s="88">
        <f t="shared" si="2"/>
        <v>3.6988831367525901</v>
      </c>
      <c r="V30" s="90">
        <v>0</v>
      </c>
      <c r="W30" s="90">
        <v>0</v>
      </c>
      <c r="X30" s="90">
        <v>0</v>
      </c>
      <c r="Y30" s="131">
        <v>0</v>
      </c>
      <c r="Z30" s="417">
        <v>0</v>
      </c>
      <c r="AA30" s="131">
        <v>0</v>
      </c>
      <c r="AB30" s="131">
        <v>0</v>
      </c>
      <c r="AC30" s="131">
        <v>0</v>
      </c>
      <c r="AD30" s="131">
        <v>0</v>
      </c>
      <c r="AE30" s="29">
        <v>0</v>
      </c>
      <c r="AF30" s="130">
        <v>0</v>
      </c>
      <c r="AG30" s="53">
        <v>0</v>
      </c>
      <c r="AH30" s="142">
        <v>0</v>
      </c>
      <c r="AI30" s="130" t="s">
        <v>60</v>
      </c>
      <c r="AJ30" s="130">
        <v>6</v>
      </c>
      <c r="AK30" s="130" t="s">
        <v>30</v>
      </c>
      <c r="AL30" s="133"/>
      <c r="AM30" s="134" t="s">
        <v>476</v>
      </c>
      <c r="AN30" s="134">
        <v>0</v>
      </c>
      <c r="AO30" s="134">
        <v>0</v>
      </c>
      <c r="AP30" s="80">
        <f>SUM(AM34,AO34)</f>
        <v>4</v>
      </c>
    </row>
    <row r="31" spans="1:42" ht="15" customHeight="1" x14ac:dyDescent="0.25">
      <c r="A31" s="32" t="s">
        <v>477</v>
      </c>
      <c r="B31" s="32" t="s">
        <v>475</v>
      </c>
      <c r="C31" s="32" t="s">
        <v>589</v>
      </c>
      <c r="D31" s="32" t="s">
        <v>589</v>
      </c>
      <c r="E31" s="48" t="s">
        <v>26</v>
      </c>
      <c r="F31" s="33" t="s">
        <v>31</v>
      </c>
      <c r="G31" s="34" t="s">
        <v>600</v>
      </c>
      <c r="H31" s="34">
        <v>45</v>
      </c>
      <c r="I31" s="34" t="s">
        <v>586</v>
      </c>
      <c r="J31" s="35">
        <v>44832</v>
      </c>
      <c r="K31" s="36">
        <v>44838</v>
      </c>
      <c r="L31" s="34" t="s">
        <v>66</v>
      </c>
      <c r="M31" s="36">
        <v>44848</v>
      </c>
      <c r="N31" s="37">
        <f t="shared" si="0"/>
        <v>10</v>
      </c>
      <c r="O31" s="34">
        <v>1</v>
      </c>
      <c r="P31" s="38"/>
      <c r="Q31" s="34" t="s">
        <v>613</v>
      </c>
      <c r="R31" s="34" t="s">
        <v>588</v>
      </c>
      <c r="S31" s="49">
        <f t="shared" si="1"/>
        <v>3.6989700043360187</v>
      </c>
      <c r="T31" s="55">
        <v>5000</v>
      </c>
      <c r="U31" s="55">
        <f t="shared" si="2"/>
        <v>3.6989700043360187</v>
      </c>
      <c r="V31" s="53">
        <v>6</v>
      </c>
      <c r="W31" s="53">
        <v>0</v>
      </c>
      <c r="X31" s="53">
        <v>0</v>
      </c>
      <c r="Y31" s="56">
        <v>0</v>
      </c>
      <c r="Z31" s="57">
        <v>0</v>
      </c>
      <c r="AA31" s="56">
        <v>0</v>
      </c>
      <c r="AB31" s="131">
        <v>0</v>
      </c>
      <c r="AC31" s="56">
        <v>0</v>
      </c>
      <c r="AD31" s="56">
        <v>0</v>
      </c>
      <c r="AE31" s="46">
        <v>0</v>
      </c>
      <c r="AF31" s="53">
        <v>0</v>
      </c>
      <c r="AG31" s="53">
        <v>0</v>
      </c>
      <c r="AH31" s="53">
        <v>0</v>
      </c>
      <c r="AI31" s="53" t="s">
        <v>60</v>
      </c>
      <c r="AJ31" s="53">
        <v>6</v>
      </c>
      <c r="AK31" s="53" t="s">
        <v>30</v>
      </c>
      <c r="AL31" s="138"/>
      <c r="AM31" s="40" t="s">
        <v>477</v>
      </c>
      <c r="AN31" s="40">
        <v>0</v>
      </c>
      <c r="AO31" s="40">
        <v>1</v>
      </c>
      <c r="AP31" s="34">
        <f>SUM(AM35,AO35)</f>
        <v>1</v>
      </c>
    </row>
    <row r="32" spans="1:42" ht="15" customHeight="1" x14ac:dyDescent="0.25">
      <c r="A32" s="32" t="s">
        <v>478</v>
      </c>
      <c r="B32" s="32" t="s">
        <v>475</v>
      </c>
      <c r="C32" s="32" t="s">
        <v>589</v>
      </c>
      <c r="D32" s="32" t="s">
        <v>589</v>
      </c>
      <c r="E32" s="48" t="s">
        <v>26</v>
      </c>
      <c r="F32" s="33" t="s">
        <v>31</v>
      </c>
      <c r="G32" s="34" t="s">
        <v>600</v>
      </c>
      <c r="H32" s="34">
        <v>43</v>
      </c>
      <c r="I32" s="34" t="s">
        <v>586</v>
      </c>
      <c r="J32" s="35">
        <v>44832</v>
      </c>
      <c r="K32" s="36">
        <v>44838</v>
      </c>
      <c r="L32" s="34" t="s">
        <v>66</v>
      </c>
      <c r="M32" s="36">
        <v>44848</v>
      </c>
      <c r="N32" s="37">
        <f t="shared" si="0"/>
        <v>10</v>
      </c>
      <c r="O32" s="34">
        <v>1</v>
      </c>
      <c r="P32" s="38"/>
      <c r="Q32" s="34" t="s">
        <v>613</v>
      </c>
      <c r="R32" s="34" t="s">
        <v>588</v>
      </c>
      <c r="S32" s="49">
        <f t="shared" si="1"/>
        <v>3.6989700043360187</v>
      </c>
      <c r="T32" s="55">
        <v>5000</v>
      </c>
      <c r="U32" s="55">
        <f t="shared" si="2"/>
        <v>3.6989700043360187</v>
      </c>
      <c r="V32" s="41">
        <v>33</v>
      </c>
      <c r="W32" s="41">
        <v>0</v>
      </c>
      <c r="X32" s="41">
        <v>0</v>
      </c>
      <c r="Y32" s="56">
        <v>13566626.000000052</v>
      </c>
      <c r="Z32" s="57">
        <f t="shared" ref="Z32:Z69" si="7">LOG10(Y32)</f>
        <v>7.1324718526872246</v>
      </c>
      <c r="AA32" s="56">
        <v>9.6517746674899296</v>
      </c>
      <c r="AB32" s="131">
        <f>LOG10(AA32)</f>
        <v>0.98460717421809441</v>
      </c>
      <c r="AC32" s="55">
        <v>277000</v>
      </c>
      <c r="AD32" s="55">
        <f t="shared" ref="AD32:AD79" si="8">LOG10(AC32)</f>
        <v>5.4424797690644482</v>
      </c>
      <c r="AE32" s="251">
        <v>0</v>
      </c>
      <c r="AF32" s="136">
        <v>0</v>
      </c>
      <c r="AG32" s="187">
        <v>4.4909106480119796</v>
      </c>
      <c r="AH32" s="395">
        <f>LOG10(AG32)</f>
        <v>0.65233441434541839</v>
      </c>
      <c r="AI32" s="53" t="s">
        <v>29</v>
      </c>
      <c r="AJ32" s="53">
        <v>6</v>
      </c>
      <c r="AK32" s="53" t="s">
        <v>30</v>
      </c>
      <c r="AL32" s="138"/>
      <c r="AM32" s="40" t="s">
        <v>478</v>
      </c>
      <c r="AN32" s="40">
        <v>0</v>
      </c>
      <c r="AO32" s="40">
        <v>4</v>
      </c>
      <c r="AP32" s="34">
        <f>SUM(AM36,AO36)</f>
        <v>3</v>
      </c>
    </row>
    <row r="33" spans="1:42" ht="15" customHeight="1" x14ac:dyDescent="0.25">
      <c r="A33" s="32" t="s">
        <v>314</v>
      </c>
      <c r="B33" s="32" t="s">
        <v>311</v>
      </c>
      <c r="C33" s="32" t="s">
        <v>589</v>
      </c>
      <c r="D33" s="32" t="s">
        <v>589</v>
      </c>
      <c r="E33" s="33" t="s">
        <v>31</v>
      </c>
      <c r="F33" s="33" t="s">
        <v>31</v>
      </c>
      <c r="G33" s="34" t="s">
        <v>61</v>
      </c>
      <c r="H33" s="34">
        <v>12</v>
      </c>
      <c r="I33" s="34" t="s">
        <v>591</v>
      </c>
      <c r="J33" s="35">
        <v>44694</v>
      </c>
      <c r="K33" s="36">
        <v>44700</v>
      </c>
      <c r="L33" s="34" t="s">
        <v>312</v>
      </c>
      <c r="M33" s="36">
        <v>44876</v>
      </c>
      <c r="N33" s="37">
        <f t="shared" si="0"/>
        <v>176</v>
      </c>
      <c r="O33" s="34">
        <v>1</v>
      </c>
      <c r="P33" s="97"/>
      <c r="Q33" s="34" t="s">
        <v>588</v>
      </c>
      <c r="R33" s="34" t="s">
        <v>588</v>
      </c>
      <c r="S33" s="49">
        <f t="shared" si="1"/>
        <v>4</v>
      </c>
      <c r="T33" s="34">
        <v>10000</v>
      </c>
      <c r="U33" s="34">
        <f t="shared" si="2"/>
        <v>4</v>
      </c>
      <c r="V33" s="34">
        <v>21</v>
      </c>
      <c r="W33" s="49">
        <v>1</v>
      </c>
      <c r="X33" s="49">
        <v>1</v>
      </c>
      <c r="Y33" s="34">
        <v>6.2860435780902462</v>
      </c>
      <c r="Z33" s="415">
        <f t="shared" si="7"/>
        <v>0.79837738744492803</v>
      </c>
      <c r="AA33" s="125"/>
      <c r="AB33" s="163"/>
      <c r="AC33" s="34">
        <v>8.7506733810685464</v>
      </c>
      <c r="AD33" s="34">
        <f t="shared" si="8"/>
        <v>0.94204147410001282</v>
      </c>
      <c r="AE33" s="34">
        <v>6.3979400086720375</v>
      </c>
      <c r="AF33" s="34">
        <f t="shared" ref="AF33:AF47" si="9">LOG10(AE33)</f>
        <v>0.80604016353413932</v>
      </c>
      <c r="AG33" s="49">
        <v>4.989004615698537</v>
      </c>
      <c r="AH33" s="34">
        <f>LOG10(AG33)</f>
        <v>0.69801390573743327</v>
      </c>
      <c r="AI33" s="34" t="s">
        <v>29</v>
      </c>
      <c r="AJ33" s="34">
        <v>6</v>
      </c>
      <c r="AK33" s="125"/>
      <c r="AL33" s="52" t="s">
        <v>635</v>
      </c>
      <c r="AM33" s="34" t="s">
        <v>314</v>
      </c>
      <c r="AN33" s="34">
        <v>4</v>
      </c>
      <c r="AO33" s="34">
        <v>4</v>
      </c>
      <c r="AP33" s="34">
        <f>SUM(AM37,AO37)</f>
        <v>1</v>
      </c>
    </row>
    <row r="34" spans="1:42" ht="15" customHeight="1" x14ac:dyDescent="0.25">
      <c r="A34" s="78" t="s">
        <v>315</v>
      </c>
      <c r="B34" s="78" t="s">
        <v>311</v>
      </c>
      <c r="C34" s="78" t="s">
        <v>589</v>
      </c>
      <c r="D34" s="78" t="s">
        <v>589</v>
      </c>
      <c r="E34" s="17" t="s">
        <v>31</v>
      </c>
      <c r="F34" s="79" t="s">
        <v>31</v>
      </c>
      <c r="G34" s="80" t="s">
        <v>61</v>
      </c>
      <c r="H34" s="80">
        <v>12</v>
      </c>
      <c r="I34" s="80" t="s">
        <v>591</v>
      </c>
      <c r="J34" s="81">
        <v>44694</v>
      </c>
      <c r="K34" s="82">
        <v>44701</v>
      </c>
      <c r="L34" s="80" t="s">
        <v>312</v>
      </c>
      <c r="M34" s="82">
        <v>44876</v>
      </c>
      <c r="N34" s="84">
        <f t="shared" ref="N34:N65" si="10">_xlfn.DAYS(M34,K34)</f>
        <v>175</v>
      </c>
      <c r="O34" s="80">
        <v>1</v>
      </c>
      <c r="P34" s="351"/>
      <c r="Q34" s="80" t="s">
        <v>588</v>
      </c>
      <c r="R34" s="80" t="s">
        <v>588</v>
      </c>
      <c r="S34" s="89">
        <f t="shared" ref="S34:S65" si="11">LOG10(T34)</f>
        <v>4</v>
      </c>
      <c r="T34" s="80">
        <v>10000</v>
      </c>
      <c r="U34" s="80">
        <f t="shared" ref="U34:U65" si="12">LOG10(T34)</f>
        <v>4</v>
      </c>
      <c r="V34" s="80">
        <v>14</v>
      </c>
      <c r="W34" s="89">
        <v>1</v>
      </c>
      <c r="X34" s="89">
        <v>1</v>
      </c>
      <c r="Y34" s="80">
        <v>6.3508795810198606</v>
      </c>
      <c r="Z34" s="418">
        <f t="shared" si="7"/>
        <v>0.80283387816272545</v>
      </c>
      <c r="AA34" s="163"/>
      <c r="AB34" s="163"/>
      <c r="AC34" s="80">
        <v>8.7748097346181648</v>
      </c>
      <c r="AD34" s="80">
        <f t="shared" si="8"/>
        <v>0.94323770837418375</v>
      </c>
      <c r="AE34" s="80">
        <v>6.3979400086720375</v>
      </c>
      <c r="AF34" s="80">
        <f t="shared" si="9"/>
        <v>0.80604016353413932</v>
      </c>
      <c r="AG34" s="89">
        <v>4.8129133566428557</v>
      </c>
      <c r="AH34" s="80">
        <f>LOG10(AG34)</f>
        <v>0.68240804346198336</v>
      </c>
      <c r="AI34" s="80" t="s">
        <v>29</v>
      </c>
      <c r="AJ34" s="80">
        <v>6</v>
      </c>
      <c r="AK34" s="163"/>
      <c r="AL34" s="95" t="s">
        <v>635</v>
      </c>
      <c r="AM34" s="80" t="s">
        <v>315</v>
      </c>
      <c r="AN34" s="80">
        <v>4</v>
      </c>
      <c r="AO34" s="80">
        <v>4</v>
      </c>
      <c r="AP34" s="80">
        <f>SUM(AM38,AO38)</f>
        <v>3</v>
      </c>
    </row>
    <row r="35" spans="1:42" ht="15" customHeight="1" x14ac:dyDescent="0.25">
      <c r="A35" s="103" t="s">
        <v>518</v>
      </c>
      <c r="B35" s="103" t="s">
        <v>260</v>
      </c>
      <c r="C35" s="103" t="s">
        <v>584</v>
      </c>
      <c r="D35" s="103" t="s">
        <v>584</v>
      </c>
      <c r="E35" s="141" t="s">
        <v>26</v>
      </c>
      <c r="F35" s="104" t="s">
        <v>31</v>
      </c>
      <c r="G35" s="105" t="s">
        <v>61</v>
      </c>
      <c r="H35" s="105">
        <v>19</v>
      </c>
      <c r="I35" s="105" t="s">
        <v>586</v>
      </c>
      <c r="J35" s="106">
        <v>44583</v>
      </c>
      <c r="K35" s="107">
        <v>44589</v>
      </c>
      <c r="L35" s="105" t="s">
        <v>646</v>
      </c>
      <c r="M35" s="107">
        <v>44592</v>
      </c>
      <c r="N35" s="109">
        <f t="shared" si="10"/>
        <v>3</v>
      </c>
      <c r="O35" s="105">
        <v>1</v>
      </c>
      <c r="P35" s="110"/>
      <c r="Q35" s="105" t="s">
        <v>613</v>
      </c>
      <c r="R35" s="105" t="s">
        <v>588</v>
      </c>
      <c r="S35" s="105">
        <f t="shared" si="11"/>
        <v>3.6989700043360187</v>
      </c>
      <c r="T35" s="105">
        <v>5000</v>
      </c>
      <c r="U35" s="105">
        <f t="shared" si="12"/>
        <v>3.6989700043360187</v>
      </c>
      <c r="V35" s="145">
        <v>4</v>
      </c>
      <c r="W35" s="142">
        <v>0</v>
      </c>
      <c r="X35" s="142">
        <v>0</v>
      </c>
      <c r="Y35" s="75">
        <v>1691.65</v>
      </c>
      <c r="Z35" s="419">
        <f t="shared" si="7"/>
        <v>3.228310513081142</v>
      </c>
      <c r="AA35" s="75">
        <v>0</v>
      </c>
      <c r="AB35" s="75">
        <v>0</v>
      </c>
      <c r="AC35" s="75">
        <v>44100.05</v>
      </c>
      <c r="AD35" s="75">
        <f t="shared" si="8"/>
        <v>4.644439081864931</v>
      </c>
      <c r="AE35" s="235">
        <v>1</v>
      </c>
      <c r="AF35" s="75">
        <f t="shared" si="9"/>
        <v>0</v>
      </c>
      <c r="AG35" s="75">
        <v>0</v>
      </c>
      <c r="AH35" s="75">
        <v>0</v>
      </c>
      <c r="AI35" s="145" t="s">
        <v>60</v>
      </c>
      <c r="AJ35" s="145">
        <v>6</v>
      </c>
      <c r="AK35" s="145" t="s">
        <v>30</v>
      </c>
      <c r="AL35" s="237"/>
      <c r="AM35" s="145" t="s">
        <v>518</v>
      </c>
      <c r="AN35" s="145">
        <v>0</v>
      </c>
      <c r="AO35" s="145">
        <v>1</v>
      </c>
      <c r="AP35" s="105">
        <f t="shared" ref="AP35:AP53" si="13">SUM(AM55,AO55)</f>
        <v>4</v>
      </c>
    </row>
    <row r="36" spans="1:42" ht="15" customHeight="1" x14ac:dyDescent="0.25">
      <c r="A36" s="15" t="s">
        <v>519</v>
      </c>
      <c r="B36" s="15" t="s">
        <v>260</v>
      </c>
      <c r="C36" s="15" t="s">
        <v>584</v>
      </c>
      <c r="D36" s="15" t="s">
        <v>584</v>
      </c>
      <c r="E36" s="16" t="s">
        <v>26</v>
      </c>
      <c r="F36" s="17" t="s">
        <v>31</v>
      </c>
      <c r="G36" s="18" t="s">
        <v>61</v>
      </c>
      <c r="H36" s="18">
        <v>14</v>
      </c>
      <c r="I36" s="18" t="s">
        <v>586</v>
      </c>
      <c r="J36" s="19">
        <v>44583</v>
      </c>
      <c r="K36" s="20">
        <v>44589</v>
      </c>
      <c r="L36" s="18" t="s">
        <v>646</v>
      </c>
      <c r="M36" s="20">
        <v>44592</v>
      </c>
      <c r="N36" s="21">
        <f t="shared" si="10"/>
        <v>3</v>
      </c>
      <c r="O36" s="18">
        <v>1</v>
      </c>
      <c r="P36" s="348"/>
      <c r="Q36" s="18" t="s">
        <v>613</v>
      </c>
      <c r="R36" s="18" t="s">
        <v>588</v>
      </c>
      <c r="S36" s="18">
        <f t="shared" si="11"/>
        <v>3.6989700043360187</v>
      </c>
      <c r="T36" s="18">
        <v>5000</v>
      </c>
      <c r="U36" s="18">
        <f t="shared" si="12"/>
        <v>3.6989700043360187</v>
      </c>
      <c r="V36" s="24">
        <v>21</v>
      </c>
      <c r="W36" s="25">
        <v>0</v>
      </c>
      <c r="X36" s="25">
        <v>0</v>
      </c>
      <c r="Y36" s="26">
        <v>217064</v>
      </c>
      <c r="Z36" s="420">
        <f t="shared" si="7"/>
        <v>5.3365878018156643</v>
      </c>
      <c r="AA36" s="27"/>
      <c r="AB36" s="27"/>
      <c r="AC36" s="26">
        <v>676381.9</v>
      </c>
      <c r="AD36" s="26">
        <f t="shared" si="8"/>
        <v>5.8301919773477939</v>
      </c>
      <c r="AE36" s="28">
        <v>1</v>
      </c>
      <c r="AF36" s="26">
        <f t="shared" si="9"/>
        <v>0</v>
      </c>
      <c r="AG36" s="29">
        <v>4.4487063199050798</v>
      </c>
      <c r="AH36" s="30">
        <f>LOG10(AG36)</f>
        <v>0.64823373686639585</v>
      </c>
      <c r="AI36" s="24" t="s">
        <v>29</v>
      </c>
      <c r="AJ36" s="24">
        <v>6</v>
      </c>
      <c r="AK36" s="24" t="s">
        <v>30</v>
      </c>
      <c r="AL36" s="31"/>
      <c r="AM36" s="24" t="s">
        <v>519</v>
      </c>
      <c r="AN36" s="24">
        <v>0</v>
      </c>
      <c r="AO36" s="24">
        <v>3</v>
      </c>
      <c r="AP36" s="18">
        <f t="shared" si="13"/>
        <v>4</v>
      </c>
    </row>
    <row r="37" spans="1:42" ht="15" customHeight="1" x14ac:dyDescent="0.25">
      <c r="A37" s="32" t="s">
        <v>522</v>
      </c>
      <c r="B37" s="32" t="s">
        <v>260</v>
      </c>
      <c r="C37" s="32" t="s">
        <v>584</v>
      </c>
      <c r="D37" s="32" t="s">
        <v>584</v>
      </c>
      <c r="E37" s="48" t="s">
        <v>26</v>
      </c>
      <c r="F37" s="33" t="s">
        <v>31</v>
      </c>
      <c r="G37" s="34" t="s">
        <v>61</v>
      </c>
      <c r="H37" s="34">
        <v>21</v>
      </c>
      <c r="I37" s="34" t="s">
        <v>586</v>
      </c>
      <c r="J37" s="35">
        <v>44583</v>
      </c>
      <c r="K37" s="36">
        <v>44589</v>
      </c>
      <c r="L37" s="34" t="s">
        <v>646</v>
      </c>
      <c r="M37" s="36">
        <v>44592</v>
      </c>
      <c r="N37" s="37">
        <f t="shared" si="10"/>
        <v>3</v>
      </c>
      <c r="O37" s="34">
        <v>1</v>
      </c>
      <c r="P37" s="97"/>
      <c r="Q37" s="34" t="s">
        <v>81</v>
      </c>
      <c r="R37" s="34" t="s">
        <v>81</v>
      </c>
      <c r="S37" s="34">
        <f t="shared" si="11"/>
        <v>3.6989700043360187</v>
      </c>
      <c r="T37" s="34">
        <v>5000</v>
      </c>
      <c r="U37" s="34">
        <f t="shared" si="12"/>
        <v>3.6989700043360187</v>
      </c>
      <c r="V37" s="40">
        <v>13</v>
      </c>
      <c r="W37" s="53">
        <v>0</v>
      </c>
      <c r="X37" s="53">
        <v>0</v>
      </c>
      <c r="Y37" s="43">
        <v>30976.54</v>
      </c>
      <c r="Z37" s="411">
        <f t="shared" si="7"/>
        <v>4.4910329065534054</v>
      </c>
      <c r="AA37" s="43">
        <v>7.2810952782207297</v>
      </c>
      <c r="AB37" s="43">
        <f t="shared" ref="AB37:AB47" si="14">LOG10(AA37)</f>
        <v>0.86219671413562027</v>
      </c>
      <c r="AC37" s="43">
        <v>120688.5</v>
      </c>
      <c r="AD37" s="43">
        <f t="shared" si="8"/>
        <v>5.0816658896128137</v>
      </c>
      <c r="AE37" s="45">
        <v>1</v>
      </c>
      <c r="AF37" s="43">
        <f t="shared" si="9"/>
        <v>0</v>
      </c>
      <c r="AG37" s="43">
        <v>0</v>
      </c>
      <c r="AH37" s="43">
        <v>0</v>
      </c>
      <c r="AI37" s="40" t="s">
        <v>60</v>
      </c>
      <c r="AJ37" s="40">
        <v>6</v>
      </c>
      <c r="AK37" s="40" t="s">
        <v>30</v>
      </c>
      <c r="AL37" s="47"/>
      <c r="AM37" s="40" t="s">
        <v>522</v>
      </c>
      <c r="AN37" s="40">
        <v>0</v>
      </c>
      <c r="AO37" s="40">
        <v>1</v>
      </c>
      <c r="AP37" s="34">
        <f t="shared" si="13"/>
        <v>0</v>
      </c>
    </row>
    <row r="38" spans="1:42" ht="15" customHeight="1" x14ac:dyDescent="0.25">
      <c r="A38" s="32" t="s">
        <v>524</v>
      </c>
      <c r="B38" s="32" t="s">
        <v>260</v>
      </c>
      <c r="C38" s="32" t="s">
        <v>589</v>
      </c>
      <c r="D38" s="32" t="s">
        <v>584</v>
      </c>
      <c r="E38" s="33" t="s">
        <v>31</v>
      </c>
      <c r="F38" s="33" t="s">
        <v>31</v>
      </c>
      <c r="G38" s="34" t="s">
        <v>61</v>
      </c>
      <c r="H38" s="34">
        <v>18</v>
      </c>
      <c r="I38" s="34" t="s">
        <v>586</v>
      </c>
      <c r="J38" s="35">
        <v>44583</v>
      </c>
      <c r="K38" s="36">
        <v>44589</v>
      </c>
      <c r="L38" s="34" t="s">
        <v>646</v>
      </c>
      <c r="M38" s="36">
        <v>44592</v>
      </c>
      <c r="N38" s="37">
        <f t="shared" si="10"/>
        <v>3</v>
      </c>
      <c r="O38" s="34">
        <v>1</v>
      </c>
      <c r="P38" s="97"/>
      <c r="Q38" s="34" t="s">
        <v>81</v>
      </c>
      <c r="R38" s="34" t="s">
        <v>81</v>
      </c>
      <c r="S38" s="34">
        <f t="shared" si="11"/>
        <v>3.6989700043360187</v>
      </c>
      <c r="T38" s="34">
        <v>5000</v>
      </c>
      <c r="U38" s="34">
        <f t="shared" si="12"/>
        <v>3.6989700043360187</v>
      </c>
      <c r="V38" s="40">
        <v>26</v>
      </c>
      <c r="W38" s="96">
        <v>1</v>
      </c>
      <c r="X38" s="233" t="s">
        <v>648</v>
      </c>
      <c r="Y38" s="43">
        <v>145537.29999999999</v>
      </c>
      <c r="Z38" s="411">
        <f t="shared" si="7"/>
        <v>5.1629743136527821</v>
      </c>
      <c r="AA38" s="43">
        <v>8.6344772701607297</v>
      </c>
      <c r="AB38" s="43">
        <f t="shared" si="14"/>
        <v>0.93623605058252568</v>
      </c>
      <c r="AC38" s="43">
        <v>720000000</v>
      </c>
      <c r="AD38" s="43">
        <f t="shared" si="8"/>
        <v>8.857332496431269</v>
      </c>
      <c r="AE38" s="45">
        <v>889000</v>
      </c>
      <c r="AF38" s="43">
        <f t="shared" si="9"/>
        <v>5.9489017609702133</v>
      </c>
      <c r="AG38" s="46">
        <v>4.1986570869544222</v>
      </c>
      <c r="AH38" s="43">
        <f t="shared" ref="AH38:AH47" si="15">LOG10(AG38)</f>
        <v>0.62311040635386761</v>
      </c>
      <c r="AI38" s="40" t="s">
        <v>29</v>
      </c>
      <c r="AJ38" s="40">
        <v>6</v>
      </c>
      <c r="AK38" s="40" t="s">
        <v>30</v>
      </c>
      <c r="AL38" s="47"/>
      <c r="AM38" s="40" t="s">
        <v>524</v>
      </c>
      <c r="AN38" s="40">
        <v>5</v>
      </c>
      <c r="AO38" s="40">
        <v>3</v>
      </c>
      <c r="AP38" s="34">
        <f t="shared" si="13"/>
        <v>3</v>
      </c>
    </row>
    <row r="39" spans="1:42" ht="15" customHeight="1" x14ac:dyDescent="0.25">
      <c r="A39" s="78" t="s">
        <v>525</v>
      </c>
      <c r="B39" s="78" t="s">
        <v>260</v>
      </c>
      <c r="C39" s="78" t="s">
        <v>584</v>
      </c>
      <c r="D39" s="78" t="s">
        <v>584</v>
      </c>
      <c r="E39" s="182" t="s">
        <v>26</v>
      </c>
      <c r="F39" s="79" t="s">
        <v>31</v>
      </c>
      <c r="G39" s="80" t="s">
        <v>61</v>
      </c>
      <c r="H39" s="80">
        <v>18</v>
      </c>
      <c r="I39" s="80" t="s">
        <v>586</v>
      </c>
      <c r="J39" s="81">
        <v>44583</v>
      </c>
      <c r="K39" s="82">
        <v>44589</v>
      </c>
      <c r="L39" s="80" t="s">
        <v>646</v>
      </c>
      <c r="M39" s="82">
        <v>44592</v>
      </c>
      <c r="N39" s="84">
        <f t="shared" si="10"/>
        <v>3</v>
      </c>
      <c r="O39" s="80">
        <v>1</v>
      </c>
      <c r="P39" s="85"/>
      <c r="Q39" s="80" t="s">
        <v>269</v>
      </c>
      <c r="R39" s="80" t="s">
        <v>269</v>
      </c>
      <c r="S39" s="80">
        <f t="shared" si="11"/>
        <v>3.6989700043360187</v>
      </c>
      <c r="T39" s="80">
        <v>5000</v>
      </c>
      <c r="U39" s="80">
        <f t="shared" si="12"/>
        <v>3.6989700043360187</v>
      </c>
      <c r="V39" s="134">
        <v>7</v>
      </c>
      <c r="W39" s="130">
        <v>0</v>
      </c>
      <c r="X39" s="130">
        <v>0</v>
      </c>
      <c r="Y39" s="231">
        <v>6272.6260000000002</v>
      </c>
      <c r="Z39" s="421">
        <f t="shared" si="7"/>
        <v>3.7974493938694884</v>
      </c>
      <c r="AA39" s="231">
        <v>7.4480268674002001</v>
      </c>
      <c r="AB39" s="231">
        <f t="shared" si="14"/>
        <v>0.8720412346143448</v>
      </c>
      <c r="AC39" s="231">
        <v>224607.6</v>
      </c>
      <c r="AD39" s="231">
        <f t="shared" si="8"/>
        <v>5.3514244473048702</v>
      </c>
      <c r="AE39" s="28">
        <v>1</v>
      </c>
      <c r="AF39" s="231">
        <f t="shared" si="9"/>
        <v>0</v>
      </c>
      <c r="AG39" s="123">
        <v>1.4487063199050798</v>
      </c>
      <c r="AH39" s="231">
        <f t="shared" si="15"/>
        <v>0.16098035471096314</v>
      </c>
      <c r="AI39" s="134" t="s">
        <v>60</v>
      </c>
      <c r="AJ39" s="134">
        <v>6</v>
      </c>
      <c r="AK39" s="134" t="s">
        <v>30</v>
      </c>
      <c r="AL39" s="232"/>
      <c r="AM39" s="134" t="s">
        <v>525</v>
      </c>
      <c r="AN39" s="134">
        <v>0</v>
      </c>
      <c r="AO39" s="134">
        <v>1</v>
      </c>
      <c r="AP39" s="80">
        <f t="shared" si="13"/>
        <v>3</v>
      </c>
    </row>
    <row r="40" spans="1:42" ht="15" customHeight="1" x14ac:dyDescent="0.25">
      <c r="A40" s="103" t="s">
        <v>528</v>
      </c>
      <c r="B40" s="103" t="s">
        <v>260</v>
      </c>
      <c r="C40" s="103" t="s">
        <v>584</v>
      </c>
      <c r="D40" s="103" t="s">
        <v>584</v>
      </c>
      <c r="E40" s="141" t="s">
        <v>26</v>
      </c>
      <c r="F40" s="104" t="s">
        <v>31</v>
      </c>
      <c r="G40" s="105" t="s">
        <v>61</v>
      </c>
      <c r="H40" s="105">
        <v>16</v>
      </c>
      <c r="I40" s="105" t="s">
        <v>586</v>
      </c>
      <c r="J40" s="106">
        <v>44583</v>
      </c>
      <c r="K40" s="107">
        <v>44589</v>
      </c>
      <c r="L40" s="105" t="s">
        <v>646</v>
      </c>
      <c r="M40" s="107">
        <v>44592</v>
      </c>
      <c r="N40" s="84">
        <f t="shared" si="10"/>
        <v>3</v>
      </c>
      <c r="O40" s="105">
        <v>1</v>
      </c>
      <c r="P40" s="110"/>
      <c r="Q40" s="105" t="s">
        <v>269</v>
      </c>
      <c r="R40" s="105" t="s">
        <v>269</v>
      </c>
      <c r="S40" s="105">
        <f t="shared" si="11"/>
        <v>3.6989700043360187</v>
      </c>
      <c r="T40" s="105">
        <v>5000</v>
      </c>
      <c r="U40" s="105">
        <f t="shared" si="12"/>
        <v>3.6989700043360187</v>
      </c>
      <c r="V40" s="145">
        <v>16</v>
      </c>
      <c r="W40" s="142">
        <v>0</v>
      </c>
      <c r="X40" s="142">
        <v>0</v>
      </c>
      <c r="Y40" s="75">
        <v>3715.5329999999999</v>
      </c>
      <c r="Z40" s="419">
        <f t="shared" si="7"/>
        <v>3.5700211229027907</v>
      </c>
      <c r="AA40" s="73">
        <v>7.5217939745778004</v>
      </c>
      <c r="AB40" s="75">
        <f t="shared" si="14"/>
        <v>0.87632143372219895</v>
      </c>
      <c r="AC40" s="75">
        <v>781950.9</v>
      </c>
      <c r="AD40" s="75">
        <f t="shared" si="8"/>
        <v>5.8931794838417817</v>
      </c>
      <c r="AE40" s="72">
        <v>1580</v>
      </c>
      <c r="AF40" s="75">
        <f t="shared" si="9"/>
        <v>3.1986570869544226</v>
      </c>
      <c r="AG40" s="236">
        <v>1.19865708695442</v>
      </c>
      <c r="AH40" s="263">
        <f t="shared" si="15"/>
        <v>7.8694957457664416E-2</v>
      </c>
      <c r="AI40" s="145" t="s">
        <v>29</v>
      </c>
      <c r="AJ40" s="145">
        <v>6</v>
      </c>
      <c r="AK40" s="145" t="s">
        <v>30</v>
      </c>
      <c r="AL40" s="237"/>
      <c r="AM40" s="145" t="s">
        <v>528</v>
      </c>
      <c r="AN40" s="145">
        <v>0</v>
      </c>
      <c r="AO40" s="145">
        <v>2</v>
      </c>
      <c r="AP40" s="105">
        <f t="shared" si="13"/>
        <v>0</v>
      </c>
    </row>
    <row r="41" spans="1:42" ht="15" customHeight="1" x14ac:dyDescent="0.25">
      <c r="A41" s="15" t="s">
        <v>539</v>
      </c>
      <c r="B41" s="15" t="s">
        <v>205</v>
      </c>
      <c r="C41" s="15" t="s">
        <v>589</v>
      </c>
      <c r="D41" s="15" t="s">
        <v>584</v>
      </c>
      <c r="E41" s="17" t="s">
        <v>31</v>
      </c>
      <c r="F41" s="17" t="s">
        <v>31</v>
      </c>
      <c r="G41" s="18" t="s">
        <v>600</v>
      </c>
      <c r="H41" s="18">
        <v>25</v>
      </c>
      <c r="I41" s="18" t="s">
        <v>591</v>
      </c>
      <c r="J41" s="19">
        <v>44658</v>
      </c>
      <c r="K41" s="20">
        <v>44721</v>
      </c>
      <c r="L41" s="18" t="s">
        <v>66</v>
      </c>
      <c r="M41" s="20">
        <v>44733</v>
      </c>
      <c r="N41" s="21">
        <f t="shared" si="10"/>
        <v>12</v>
      </c>
      <c r="O41" s="18">
        <v>1</v>
      </c>
      <c r="P41" s="118" t="s">
        <v>653</v>
      </c>
      <c r="Q41" s="18" t="s">
        <v>588</v>
      </c>
      <c r="R41" s="18" t="s">
        <v>588</v>
      </c>
      <c r="S41" s="18">
        <f t="shared" si="11"/>
        <v>3.6989700043360187</v>
      </c>
      <c r="T41" s="18">
        <v>5000</v>
      </c>
      <c r="U41" s="18">
        <f t="shared" si="12"/>
        <v>3.6989700043360187</v>
      </c>
      <c r="V41" s="18">
        <v>13</v>
      </c>
      <c r="W41" s="18">
        <v>1</v>
      </c>
      <c r="X41" s="18">
        <v>1</v>
      </c>
      <c r="Y41" s="18">
        <v>7.7469867838377056</v>
      </c>
      <c r="Z41" s="422">
        <f t="shared" si="7"/>
        <v>0.88913281507202246</v>
      </c>
      <c r="AA41" s="80">
        <v>10.301029995664001</v>
      </c>
      <c r="AB41" s="18">
        <f t="shared" si="14"/>
        <v>1.0128806517992279</v>
      </c>
      <c r="AC41" s="18">
        <v>11.859738566197146</v>
      </c>
      <c r="AD41" s="18">
        <f t="shared" si="8"/>
        <v>1.0740751156294772</v>
      </c>
      <c r="AE41" s="18">
        <v>7.1583624920952493</v>
      </c>
      <c r="AF41" s="18">
        <f t="shared" si="9"/>
        <v>0.85481368683557668</v>
      </c>
      <c r="AG41" s="250">
        <v>4.4913616938342731</v>
      </c>
      <c r="AH41" s="151">
        <f t="shared" si="15"/>
        <v>0.6523780306385828</v>
      </c>
      <c r="AI41" s="18" t="s">
        <v>29</v>
      </c>
      <c r="AJ41" s="18">
        <v>6</v>
      </c>
      <c r="AK41" s="18" t="s">
        <v>30</v>
      </c>
      <c r="AL41" s="202"/>
      <c r="AM41" s="119" t="s">
        <v>539</v>
      </c>
      <c r="AN41" s="119">
        <v>5</v>
      </c>
      <c r="AO41" s="119">
        <v>4</v>
      </c>
      <c r="AP41" s="18">
        <f t="shared" si="13"/>
        <v>3</v>
      </c>
    </row>
    <row r="42" spans="1:42" ht="15" customHeight="1" x14ac:dyDescent="0.25">
      <c r="A42" s="32" t="s">
        <v>540</v>
      </c>
      <c r="B42" s="32" t="s">
        <v>205</v>
      </c>
      <c r="C42" s="32" t="s">
        <v>589</v>
      </c>
      <c r="D42" s="32" t="s">
        <v>584</v>
      </c>
      <c r="E42" s="33" t="s">
        <v>31</v>
      </c>
      <c r="F42" s="33" t="s">
        <v>31</v>
      </c>
      <c r="G42" s="34" t="s">
        <v>600</v>
      </c>
      <c r="H42" s="34">
        <v>25</v>
      </c>
      <c r="I42" s="34" t="s">
        <v>591</v>
      </c>
      <c r="J42" s="35">
        <v>44658</v>
      </c>
      <c r="K42" s="36">
        <v>44721</v>
      </c>
      <c r="L42" s="34" t="s">
        <v>66</v>
      </c>
      <c r="M42" s="36">
        <v>44733</v>
      </c>
      <c r="N42" s="37">
        <f t="shared" si="10"/>
        <v>12</v>
      </c>
      <c r="O42" s="34">
        <v>1</v>
      </c>
      <c r="P42" s="97"/>
      <c r="Q42" s="244" t="s">
        <v>588</v>
      </c>
      <c r="R42" s="244" t="s">
        <v>588</v>
      </c>
      <c r="S42" s="244">
        <f t="shared" si="11"/>
        <v>3.6989700043360187</v>
      </c>
      <c r="T42" s="34">
        <v>5000</v>
      </c>
      <c r="U42" s="34">
        <f t="shared" si="12"/>
        <v>3.6989700043360187</v>
      </c>
      <c r="V42" s="40">
        <v>23</v>
      </c>
      <c r="W42" s="53">
        <v>2</v>
      </c>
      <c r="X42" s="53">
        <v>2</v>
      </c>
      <c r="Y42" s="43">
        <v>79492920</v>
      </c>
      <c r="Z42" s="411">
        <f t="shared" si="7"/>
        <v>7.9003284501425606</v>
      </c>
      <c r="AA42" s="43">
        <v>10.4653828514484</v>
      </c>
      <c r="AB42" s="43">
        <f t="shared" si="14"/>
        <v>1.0197551206087796</v>
      </c>
      <c r="AC42" s="39">
        <v>3110000000</v>
      </c>
      <c r="AD42" s="39">
        <f t="shared" si="8"/>
        <v>9.4927603890268379</v>
      </c>
      <c r="AE42" s="251">
        <v>6670000</v>
      </c>
      <c r="AF42" s="252">
        <f t="shared" si="9"/>
        <v>6.8241258339165487</v>
      </c>
      <c r="AG42" s="187">
        <v>4.4913616938342731</v>
      </c>
      <c r="AH42" s="395">
        <f t="shared" si="15"/>
        <v>0.6523780306385828</v>
      </c>
      <c r="AI42" s="40" t="s">
        <v>29</v>
      </c>
      <c r="AJ42" s="40">
        <v>6</v>
      </c>
      <c r="AK42" s="40" t="s">
        <v>30</v>
      </c>
      <c r="AL42" s="47"/>
      <c r="AM42" s="53" t="s">
        <v>540</v>
      </c>
      <c r="AN42" s="53">
        <v>5</v>
      </c>
      <c r="AO42" s="53">
        <v>4</v>
      </c>
      <c r="AP42" s="34">
        <f t="shared" si="13"/>
        <v>2</v>
      </c>
    </row>
    <row r="43" spans="1:42" ht="15" customHeight="1" x14ac:dyDescent="0.25">
      <c r="A43" s="32" t="s">
        <v>541</v>
      </c>
      <c r="B43" s="32" t="s">
        <v>205</v>
      </c>
      <c r="C43" s="32" t="s">
        <v>589</v>
      </c>
      <c r="D43" s="32" t="s">
        <v>584</v>
      </c>
      <c r="E43" s="33" t="s">
        <v>31</v>
      </c>
      <c r="F43" s="33" t="s">
        <v>31</v>
      </c>
      <c r="G43" s="34" t="s">
        <v>600</v>
      </c>
      <c r="H43" s="34">
        <v>23</v>
      </c>
      <c r="I43" s="34" t="s">
        <v>591</v>
      </c>
      <c r="J43" s="35">
        <v>44658</v>
      </c>
      <c r="K43" s="36">
        <v>44721</v>
      </c>
      <c r="L43" s="34" t="s">
        <v>66</v>
      </c>
      <c r="M43" s="36">
        <v>44733</v>
      </c>
      <c r="N43" s="37">
        <f t="shared" si="10"/>
        <v>12</v>
      </c>
      <c r="O43" s="34">
        <v>1</v>
      </c>
      <c r="P43" s="97"/>
      <c r="Q43" s="34" t="s">
        <v>588</v>
      </c>
      <c r="R43" s="34" t="s">
        <v>588</v>
      </c>
      <c r="S43" s="34">
        <f t="shared" si="11"/>
        <v>3.6989700043360187</v>
      </c>
      <c r="T43" s="34">
        <v>5000</v>
      </c>
      <c r="U43" s="34">
        <f t="shared" si="12"/>
        <v>3.6989700043360187</v>
      </c>
      <c r="V43" s="34">
        <v>28</v>
      </c>
      <c r="W43" s="34">
        <v>1</v>
      </c>
      <c r="X43" s="34">
        <v>1</v>
      </c>
      <c r="Y43" s="34">
        <v>7.4909728963389863</v>
      </c>
      <c r="Z43" s="415">
        <f t="shared" si="7"/>
        <v>0.87453822571982709</v>
      </c>
      <c r="AA43" s="34">
        <v>10.131116825332301</v>
      </c>
      <c r="AB43" s="34">
        <f t="shared" si="14"/>
        <v>1.0056573233804054</v>
      </c>
      <c r="AC43" s="34">
        <v>11.06595298031387</v>
      </c>
      <c r="AD43" s="34">
        <f t="shared" si="8"/>
        <v>1.0439888205470647</v>
      </c>
      <c r="AE43" s="34">
        <v>7.8241258339165487</v>
      </c>
      <c r="AF43" s="34">
        <f t="shared" si="9"/>
        <v>0.89343582651064635</v>
      </c>
      <c r="AG43" s="187">
        <v>5.1583624920952493</v>
      </c>
      <c r="AH43" s="395">
        <f t="shared" si="15"/>
        <v>0.71251185792311178</v>
      </c>
      <c r="AI43" s="34" t="s">
        <v>29</v>
      </c>
      <c r="AJ43" s="34">
        <v>6</v>
      </c>
      <c r="AK43" s="34" t="s">
        <v>30</v>
      </c>
      <c r="AL43" s="52"/>
      <c r="AM43" s="49" t="s">
        <v>541</v>
      </c>
      <c r="AN43" s="49">
        <v>5</v>
      </c>
      <c r="AO43" s="49">
        <v>4</v>
      </c>
      <c r="AP43" s="34">
        <f t="shared" si="13"/>
        <v>0</v>
      </c>
    </row>
    <row r="44" spans="1:42" ht="15" customHeight="1" x14ac:dyDescent="0.25">
      <c r="A44" s="32" t="s">
        <v>542</v>
      </c>
      <c r="B44" s="32" t="s">
        <v>205</v>
      </c>
      <c r="C44" s="32" t="s">
        <v>589</v>
      </c>
      <c r="D44" s="32" t="s">
        <v>584</v>
      </c>
      <c r="E44" s="33" t="s">
        <v>31</v>
      </c>
      <c r="F44" s="33" t="s">
        <v>31</v>
      </c>
      <c r="G44" s="34" t="s">
        <v>600</v>
      </c>
      <c r="H44" s="34">
        <v>23</v>
      </c>
      <c r="I44" s="34" t="s">
        <v>591</v>
      </c>
      <c r="J44" s="35">
        <v>44658</v>
      </c>
      <c r="K44" s="36">
        <v>44721</v>
      </c>
      <c r="L44" s="34" t="s">
        <v>66</v>
      </c>
      <c r="M44" s="36">
        <v>44733</v>
      </c>
      <c r="N44" s="37">
        <f t="shared" si="10"/>
        <v>12</v>
      </c>
      <c r="O44" s="34">
        <v>1</v>
      </c>
      <c r="P44" s="97"/>
      <c r="Q44" s="34" t="s">
        <v>588</v>
      </c>
      <c r="R44" s="34" t="s">
        <v>588</v>
      </c>
      <c r="S44" s="34">
        <f t="shared" si="11"/>
        <v>3.6989700043360187</v>
      </c>
      <c r="T44" s="34">
        <v>5000</v>
      </c>
      <c r="U44" s="34">
        <f t="shared" si="12"/>
        <v>3.6989700043360187</v>
      </c>
      <c r="V44" s="34">
        <v>15</v>
      </c>
      <c r="W44" s="34">
        <v>1</v>
      </c>
      <c r="X44" s="34">
        <v>1</v>
      </c>
      <c r="Y44" s="34">
        <v>7.1416203846905466</v>
      </c>
      <c r="Z44" s="415">
        <f t="shared" si="7"/>
        <v>0.85379676139641758</v>
      </c>
      <c r="AA44" s="34">
        <v>10.4828735836088</v>
      </c>
      <c r="AB44" s="34">
        <f t="shared" si="14"/>
        <v>1.0204803485293417</v>
      </c>
      <c r="AC44" s="34">
        <v>10.789580712164426</v>
      </c>
      <c r="AD44" s="34">
        <f t="shared" si="8"/>
        <v>1.0330045681369044</v>
      </c>
      <c r="AE44" s="34">
        <v>7.4913616938342731</v>
      </c>
      <c r="AF44" s="34">
        <f t="shared" si="9"/>
        <v>0.87456076594622545</v>
      </c>
      <c r="AG44" s="187">
        <v>4.1583624920952493</v>
      </c>
      <c r="AH44" s="136">
        <f t="shared" si="15"/>
        <v>0.61892234489320008</v>
      </c>
      <c r="AI44" s="34" t="s">
        <v>29</v>
      </c>
      <c r="AJ44" s="34">
        <v>6</v>
      </c>
      <c r="AK44" s="34" t="s">
        <v>30</v>
      </c>
      <c r="AL44" s="52"/>
      <c r="AM44" s="49" t="s">
        <v>542</v>
      </c>
      <c r="AN44" s="49">
        <v>5</v>
      </c>
      <c r="AO44" s="49">
        <v>4</v>
      </c>
      <c r="AP44" s="34">
        <f t="shared" si="13"/>
        <v>2</v>
      </c>
    </row>
    <row r="45" spans="1:42" ht="15" customHeight="1" x14ac:dyDescent="0.25">
      <c r="A45" s="32" t="s">
        <v>543</v>
      </c>
      <c r="B45" s="32" t="s">
        <v>205</v>
      </c>
      <c r="C45" s="32" t="s">
        <v>589</v>
      </c>
      <c r="D45" s="32" t="s">
        <v>584</v>
      </c>
      <c r="E45" s="33" t="s">
        <v>31</v>
      </c>
      <c r="F45" s="33" t="s">
        <v>31</v>
      </c>
      <c r="G45" s="34" t="s">
        <v>600</v>
      </c>
      <c r="H45" s="34">
        <v>23</v>
      </c>
      <c r="I45" s="34" t="s">
        <v>591</v>
      </c>
      <c r="J45" s="35">
        <v>44658</v>
      </c>
      <c r="K45" s="36">
        <v>44721</v>
      </c>
      <c r="L45" s="34" t="s">
        <v>66</v>
      </c>
      <c r="M45" s="36">
        <v>44733</v>
      </c>
      <c r="N45" s="37">
        <f t="shared" si="10"/>
        <v>12</v>
      </c>
      <c r="O45" s="34">
        <v>1</v>
      </c>
      <c r="P45" s="97"/>
      <c r="Q45" s="34" t="s">
        <v>81</v>
      </c>
      <c r="R45" s="34" t="s">
        <v>81</v>
      </c>
      <c r="S45" s="34">
        <f t="shared" si="11"/>
        <v>3.6989700043360187</v>
      </c>
      <c r="T45" s="34">
        <v>5000</v>
      </c>
      <c r="U45" s="34">
        <f t="shared" si="12"/>
        <v>3.6989700043360187</v>
      </c>
      <c r="V45" s="34">
        <v>27</v>
      </c>
      <c r="W45" s="34">
        <v>2</v>
      </c>
      <c r="X45" s="34">
        <v>2</v>
      </c>
      <c r="Y45" s="34">
        <v>7.361632280720106</v>
      </c>
      <c r="Z45" s="415">
        <f t="shared" si="7"/>
        <v>0.86697412030399046</v>
      </c>
      <c r="AA45" s="34">
        <v>10.803457115648399</v>
      </c>
      <c r="AB45" s="34">
        <f t="shared" si="14"/>
        <v>1.0335627523386277</v>
      </c>
      <c r="AC45" s="34">
        <v>11.248463717551031</v>
      </c>
      <c r="AD45" s="34">
        <f t="shared" si="8"/>
        <v>1.0510932118206964</v>
      </c>
      <c r="AE45" s="34">
        <v>6.4913616938342731</v>
      </c>
      <c r="AF45" s="34">
        <f t="shared" si="9"/>
        <v>0.81233580837007713</v>
      </c>
      <c r="AG45" s="187">
        <v>4.4913616938342731</v>
      </c>
      <c r="AH45" s="136">
        <f t="shared" si="15"/>
        <v>0.6523780306385828</v>
      </c>
      <c r="AI45" s="34" t="s">
        <v>29</v>
      </c>
      <c r="AJ45" s="34">
        <v>6</v>
      </c>
      <c r="AK45" s="34" t="s">
        <v>30</v>
      </c>
      <c r="AL45" s="52"/>
      <c r="AM45" s="49" t="s">
        <v>543</v>
      </c>
      <c r="AN45" s="49">
        <v>4</v>
      </c>
      <c r="AO45" s="49">
        <v>4</v>
      </c>
      <c r="AP45" s="34">
        <f t="shared" si="13"/>
        <v>2</v>
      </c>
    </row>
    <row r="46" spans="1:42" ht="15" customHeight="1" x14ac:dyDescent="0.25">
      <c r="A46" s="32" t="s">
        <v>544</v>
      </c>
      <c r="B46" s="32" t="s">
        <v>205</v>
      </c>
      <c r="C46" s="32" t="s">
        <v>589</v>
      </c>
      <c r="D46" s="32" t="s">
        <v>584</v>
      </c>
      <c r="E46" s="33" t="s">
        <v>31</v>
      </c>
      <c r="F46" s="33" t="s">
        <v>31</v>
      </c>
      <c r="G46" s="34" t="s">
        <v>600</v>
      </c>
      <c r="H46" s="34">
        <v>23</v>
      </c>
      <c r="I46" s="34" t="s">
        <v>591</v>
      </c>
      <c r="J46" s="35">
        <v>44658</v>
      </c>
      <c r="K46" s="36">
        <v>44721</v>
      </c>
      <c r="L46" s="34" t="s">
        <v>66</v>
      </c>
      <c r="M46" s="36">
        <v>44733</v>
      </c>
      <c r="N46" s="37">
        <f t="shared" si="10"/>
        <v>12</v>
      </c>
      <c r="O46" s="34">
        <v>1</v>
      </c>
      <c r="P46" s="97"/>
      <c r="Q46" s="34" t="s">
        <v>81</v>
      </c>
      <c r="R46" s="34" t="s">
        <v>81</v>
      </c>
      <c r="S46" s="34">
        <f t="shared" si="11"/>
        <v>3.6989700043360187</v>
      </c>
      <c r="T46" s="34">
        <v>5000</v>
      </c>
      <c r="U46" s="34">
        <f t="shared" si="12"/>
        <v>3.6989700043360187</v>
      </c>
      <c r="V46" s="40">
        <v>31</v>
      </c>
      <c r="W46" s="53">
        <v>1</v>
      </c>
      <c r="X46" s="53">
        <v>1</v>
      </c>
      <c r="Y46" s="43">
        <v>50001620</v>
      </c>
      <c r="Z46" s="411">
        <f t="shared" si="7"/>
        <v>7.6989840752492853</v>
      </c>
      <c r="AA46" s="43">
        <v>10.761927838420499</v>
      </c>
      <c r="AB46" s="43">
        <f t="shared" si="14"/>
        <v>1.0318900756605911</v>
      </c>
      <c r="AC46" s="39">
        <v>1120000000</v>
      </c>
      <c r="AD46" s="39">
        <f t="shared" si="8"/>
        <v>9.0492180226701819</v>
      </c>
      <c r="AE46" s="251">
        <v>31000000</v>
      </c>
      <c r="AF46" s="252">
        <f t="shared" si="9"/>
        <v>7.4913616938342731</v>
      </c>
      <c r="AG46" s="187">
        <v>4.8241258339165487</v>
      </c>
      <c r="AH46" s="136">
        <f t="shared" si="15"/>
        <v>0.68341862754479121</v>
      </c>
      <c r="AI46" s="40" t="s">
        <v>29</v>
      </c>
      <c r="AJ46" s="40">
        <v>6</v>
      </c>
      <c r="AK46" s="40" t="s">
        <v>30</v>
      </c>
      <c r="AL46" s="47"/>
      <c r="AM46" s="53" t="s">
        <v>544</v>
      </c>
      <c r="AN46" s="53">
        <v>5</v>
      </c>
      <c r="AO46" s="53">
        <v>4</v>
      </c>
      <c r="AP46" s="34">
        <f t="shared" si="13"/>
        <v>1</v>
      </c>
    </row>
    <row r="47" spans="1:42" ht="15" customHeight="1" x14ac:dyDescent="0.25">
      <c r="A47" s="32" t="s">
        <v>545</v>
      </c>
      <c r="B47" s="32" t="s">
        <v>205</v>
      </c>
      <c r="C47" s="32" t="s">
        <v>589</v>
      </c>
      <c r="D47" s="32" t="s">
        <v>584</v>
      </c>
      <c r="E47" s="33" t="s">
        <v>31</v>
      </c>
      <c r="F47" s="33" t="s">
        <v>31</v>
      </c>
      <c r="G47" s="34" t="s">
        <v>600</v>
      </c>
      <c r="H47" s="34">
        <v>23</v>
      </c>
      <c r="I47" s="34" t="s">
        <v>591</v>
      </c>
      <c r="J47" s="35">
        <v>44658</v>
      </c>
      <c r="K47" s="36">
        <v>44721</v>
      </c>
      <c r="L47" s="34" t="s">
        <v>66</v>
      </c>
      <c r="M47" s="36">
        <v>44733</v>
      </c>
      <c r="N47" s="37">
        <f t="shared" si="10"/>
        <v>12</v>
      </c>
      <c r="O47" s="34">
        <v>1</v>
      </c>
      <c r="P47" s="97"/>
      <c r="Q47" s="34" t="s">
        <v>81</v>
      </c>
      <c r="R47" s="34" t="s">
        <v>81</v>
      </c>
      <c r="S47" s="34">
        <f t="shared" si="11"/>
        <v>3.6989700043360187</v>
      </c>
      <c r="T47" s="34">
        <v>5000</v>
      </c>
      <c r="U47" s="34">
        <f t="shared" si="12"/>
        <v>3.6989700043360187</v>
      </c>
      <c r="V47" s="34">
        <v>43</v>
      </c>
      <c r="W47" s="34">
        <v>2</v>
      </c>
      <c r="X47" s="34">
        <v>2</v>
      </c>
      <c r="Y47" s="34">
        <v>7.361632280720106</v>
      </c>
      <c r="Z47" s="415">
        <f t="shared" si="7"/>
        <v>0.86697412030399046</v>
      </c>
      <c r="AA47" s="34">
        <v>10.267124244508899</v>
      </c>
      <c r="AB47" s="34">
        <f t="shared" si="14"/>
        <v>1.0114488175376233</v>
      </c>
      <c r="AC47" s="34">
        <v>7.3976345053648069</v>
      </c>
      <c r="AD47" s="34">
        <f t="shared" si="8"/>
        <v>0.86909287033914751</v>
      </c>
      <c r="AE47" s="34">
        <v>3.8241258339165491</v>
      </c>
      <c r="AF47" s="34">
        <f t="shared" si="9"/>
        <v>0.58253217441903737</v>
      </c>
      <c r="AG47" s="187">
        <v>3.8241258339165491</v>
      </c>
      <c r="AH47" s="136">
        <f t="shared" si="15"/>
        <v>0.58253217441903737</v>
      </c>
      <c r="AI47" s="34" t="s">
        <v>29</v>
      </c>
      <c r="AJ47" s="34">
        <v>6</v>
      </c>
      <c r="AK47" s="34" t="s">
        <v>30</v>
      </c>
      <c r="AL47" s="52"/>
      <c r="AM47" s="49" t="s">
        <v>545</v>
      </c>
      <c r="AN47" s="49">
        <v>4</v>
      </c>
      <c r="AO47" s="49">
        <v>3</v>
      </c>
      <c r="AP47" s="34">
        <f t="shared" si="13"/>
        <v>3</v>
      </c>
    </row>
    <row r="48" spans="1:42" ht="15" customHeight="1" x14ac:dyDescent="0.25">
      <c r="A48" s="58" t="s">
        <v>546</v>
      </c>
      <c r="B48" s="58" t="s">
        <v>205</v>
      </c>
      <c r="C48" s="58" t="s">
        <v>584</v>
      </c>
      <c r="D48" s="58" t="s">
        <v>584</v>
      </c>
      <c r="E48" s="59" t="s">
        <v>26</v>
      </c>
      <c r="F48" s="59" t="s">
        <v>26</v>
      </c>
      <c r="G48" s="61" t="s">
        <v>600</v>
      </c>
      <c r="H48" s="61">
        <v>33</v>
      </c>
      <c r="I48" s="61" t="s">
        <v>591</v>
      </c>
      <c r="J48" s="62">
        <v>44658</v>
      </c>
      <c r="K48" s="63">
        <v>44721</v>
      </c>
      <c r="L48" s="61" t="s">
        <v>66</v>
      </c>
      <c r="M48" s="63">
        <v>44733</v>
      </c>
      <c r="N48" s="64">
        <f t="shared" si="10"/>
        <v>12</v>
      </c>
      <c r="O48" s="61">
        <v>1</v>
      </c>
      <c r="P48" s="110"/>
      <c r="Q48" s="248" t="s">
        <v>588</v>
      </c>
      <c r="R48" s="248" t="s">
        <v>588</v>
      </c>
      <c r="S48" s="248">
        <f t="shared" si="11"/>
        <v>3.6989700043360187</v>
      </c>
      <c r="T48" s="61">
        <v>5000</v>
      </c>
      <c r="U48" s="61">
        <f t="shared" si="12"/>
        <v>3.6989700043360187</v>
      </c>
      <c r="V48" s="76">
        <v>9</v>
      </c>
      <c r="W48" s="68">
        <v>0</v>
      </c>
      <c r="X48" s="68">
        <v>0</v>
      </c>
      <c r="Y48" s="370">
        <v>1054.77</v>
      </c>
      <c r="Z48" s="423">
        <f t="shared" si="7"/>
        <v>3.023157768998018</v>
      </c>
      <c r="AA48" s="375"/>
      <c r="AB48" s="375"/>
      <c r="AC48" s="73">
        <v>1256.499</v>
      </c>
      <c r="AD48" s="73">
        <f t="shared" si="8"/>
        <v>3.0991621472901909</v>
      </c>
      <c r="AE48" s="388">
        <v>0</v>
      </c>
      <c r="AF48" s="71">
        <v>0</v>
      </c>
      <c r="AG48" s="370">
        <v>0</v>
      </c>
      <c r="AH48" s="71">
        <v>0</v>
      </c>
      <c r="AI48" s="370" t="s">
        <v>60</v>
      </c>
      <c r="AJ48" s="76">
        <v>6</v>
      </c>
      <c r="AK48" s="71" t="s">
        <v>30</v>
      </c>
      <c r="AL48" s="401"/>
      <c r="AM48" s="67" t="s">
        <v>546</v>
      </c>
      <c r="AN48" s="67">
        <v>0</v>
      </c>
      <c r="AO48" s="67">
        <v>0</v>
      </c>
      <c r="AP48" s="61">
        <f t="shared" si="13"/>
        <v>1</v>
      </c>
    </row>
    <row r="49" spans="1:42" ht="15" customHeight="1" x14ac:dyDescent="0.25">
      <c r="A49" s="78" t="s">
        <v>547</v>
      </c>
      <c r="B49" s="78" t="s">
        <v>205</v>
      </c>
      <c r="C49" s="78" t="s">
        <v>584</v>
      </c>
      <c r="D49" s="78" t="s">
        <v>584</v>
      </c>
      <c r="E49" s="182" t="s">
        <v>26</v>
      </c>
      <c r="F49" s="79" t="s">
        <v>31</v>
      </c>
      <c r="G49" s="80" t="s">
        <v>600</v>
      </c>
      <c r="H49" s="80">
        <v>26</v>
      </c>
      <c r="I49" s="80" t="s">
        <v>591</v>
      </c>
      <c r="J49" s="81">
        <v>44658</v>
      </c>
      <c r="K49" s="82">
        <v>44721</v>
      </c>
      <c r="L49" s="80" t="s">
        <v>66</v>
      </c>
      <c r="M49" s="82">
        <v>44733</v>
      </c>
      <c r="N49" s="84">
        <f t="shared" si="10"/>
        <v>12</v>
      </c>
      <c r="O49" s="80">
        <v>1</v>
      </c>
      <c r="P49" s="351"/>
      <c r="Q49" s="85" t="s">
        <v>81</v>
      </c>
      <c r="R49" s="85" t="s">
        <v>81</v>
      </c>
      <c r="S49" s="85">
        <f t="shared" si="11"/>
        <v>3.6989700043360187</v>
      </c>
      <c r="T49" s="80">
        <v>5000</v>
      </c>
      <c r="U49" s="80">
        <f t="shared" si="12"/>
        <v>3.6989700043360187</v>
      </c>
      <c r="V49" s="134">
        <v>11</v>
      </c>
      <c r="W49" s="130">
        <v>0</v>
      </c>
      <c r="X49" s="130">
        <v>0</v>
      </c>
      <c r="Y49" s="231">
        <v>60835.68</v>
      </c>
      <c r="Z49" s="421">
        <f t="shared" si="7"/>
        <v>4.7841583668080823</v>
      </c>
      <c r="AA49" s="231">
        <v>7.3176300772134999</v>
      </c>
      <c r="AB49" s="231">
        <f>LOG10(AA49)</f>
        <v>0.86437045113506716</v>
      </c>
      <c r="AC49" s="255">
        <v>3397.7040000000002</v>
      </c>
      <c r="AD49" s="255">
        <f t="shared" si="8"/>
        <v>3.5311855414647457</v>
      </c>
      <c r="AE49" s="382">
        <v>0</v>
      </c>
      <c r="AF49" s="231">
        <v>0</v>
      </c>
      <c r="AG49" s="231">
        <v>0</v>
      </c>
      <c r="AH49" s="255">
        <v>0</v>
      </c>
      <c r="AI49" s="134" t="s">
        <v>60</v>
      </c>
      <c r="AJ49" s="134">
        <v>6</v>
      </c>
      <c r="AK49" s="134" t="s">
        <v>30</v>
      </c>
      <c r="AL49" s="232"/>
      <c r="AM49" s="130" t="s">
        <v>547</v>
      </c>
      <c r="AN49" s="130">
        <v>0</v>
      </c>
      <c r="AO49" s="130">
        <v>1</v>
      </c>
      <c r="AP49" s="80">
        <f t="shared" si="13"/>
        <v>2</v>
      </c>
    </row>
    <row r="50" spans="1:42" s="289" customFormat="1" ht="15" customHeight="1" x14ac:dyDescent="0.25">
      <c r="A50" s="433" t="s">
        <v>548</v>
      </c>
      <c r="B50" s="433" t="s">
        <v>205</v>
      </c>
      <c r="C50" s="433" t="s">
        <v>584</v>
      </c>
      <c r="D50" s="433" t="s">
        <v>584</v>
      </c>
      <c r="E50" s="403" t="s">
        <v>26</v>
      </c>
      <c r="F50" s="403" t="s">
        <v>31</v>
      </c>
      <c r="G50" s="403" t="s">
        <v>600</v>
      </c>
      <c r="H50" s="403">
        <v>25</v>
      </c>
      <c r="I50" s="403" t="s">
        <v>591</v>
      </c>
      <c r="J50" s="434">
        <v>44658</v>
      </c>
      <c r="K50" s="435">
        <v>44722</v>
      </c>
      <c r="L50" s="403" t="s">
        <v>66</v>
      </c>
      <c r="M50" s="435">
        <v>44733</v>
      </c>
      <c r="N50" s="436">
        <f t="shared" si="10"/>
        <v>11</v>
      </c>
      <c r="O50" s="403">
        <v>1</v>
      </c>
      <c r="P50" s="437"/>
      <c r="Q50" s="438" t="s">
        <v>588</v>
      </c>
      <c r="R50" s="438" t="s">
        <v>588</v>
      </c>
      <c r="S50" s="438">
        <f t="shared" si="11"/>
        <v>3.6989700043360187</v>
      </c>
      <c r="T50" s="403">
        <v>5000</v>
      </c>
      <c r="U50" s="403">
        <f t="shared" si="12"/>
        <v>3.6989700043360187</v>
      </c>
      <c r="V50" s="439">
        <v>16</v>
      </c>
      <c r="W50" s="439">
        <v>0</v>
      </c>
      <c r="X50" s="439">
        <v>0</v>
      </c>
      <c r="Y50" s="440">
        <v>3114.7359999999999</v>
      </c>
      <c r="Z50" s="441">
        <f t="shared" si="7"/>
        <v>3.4934212424552147</v>
      </c>
      <c r="AA50" s="440">
        <v>6.4309150832017696</v>
      </c>
      <c r="AB50" s="440">
        <f>LOG10(AA50)</f>
        <v>0.80827277499399863</v>
      </c>
      <c r="AC50" s="442">
        <v>4.633</v>
      </c>
      <c r="AD50" s="442">
        <f t="shared" si="8"/>
        <v>0.66586230020315518</v>
      </c>
      <c r="AE50" s="443">
        <v>0</v>
      </c>
      <c r="AF50" s="440">
        <v>0</v>
      </c>
      <c r="AG50" s="440">
        <v>0</v>
      </c>
      <c r="AH50" s="442">
        <v>0</v>
      </c>
      <c r="AI50" s="439" t="s">
        <v>60</v>
      </c>
      <c r="AJ50" s="439">
        <v>6</v>
      </c>
      <c r="AK50" s="439" t="s">
        <v>30</v>
      </c>
      <c r="AL50" s="444"/>
      <c r="AM50" s="439" t="s">
        <v>548</v>
      </c>
      <c r="AN50" s="439">
        <v>0</v>
      </c>
      <c r="AO50" s="439">
        <v>1</v>
      </c>
      <c r="AP50" s="403">
        <f t="shared" si="13"/>
        <v>2</v>
      </c>
    </row>
    <row r="51" spans="1:42" ht="15" customHeight="1" x14ac:dyDescent="0.25">
      <c r="A51" s="103" t="s">
        <v>549</v>
      </c>
      <c r="B51" s="103" t="s">
        <v>205</v>
      </c>
      <c r="C51" s="103" t="s">
        <v>584</v>
      </c>
      <c r="D51" s="103" t="s">
        <v>584</v>
      </c>
      <c r="E51" s="141" t="s">
        <v>26</v>
      </c>
      <c r="F51" s="141" t="s">
        <v>26</v>
      </c>
      <c r="G51" s="105" t="s">
        <v>600</v>
      </c>
      <c r="H51" s="105">
        <v>29</v>
      </c>
      <c r="I51" s="105" t="s">
        <v>591</v>
      </c>
      <c r="J51" s="106">
        <v>44658</v>
      </c>
      <c r="K51" s="107">
        <v>44722</v>
      </c>
      <c r="L51" s="105" t="s">
        <v>66</v>
      </c>
      <c r="M51" s="107">
        <v>44733</v>
      </c>
      <c r="N51" s="109">
        <f t="shared" si="10"/>
        <v>11</v>
      </c>
      <c r="O51" s="105">
        <v>1</v>
      </c>
      <c r="P51" s="234"/>
      <c r="Q51" s="257" t="s">
        <v>81</v>
      </c>
      <c r="R51" s="257" t="s">
        <v>81</v>
      </c>
      <c r="S51" s="257">
        <f t="shared" si="11"/>
        <v>3.6989700043360187</v>
      </c>
      <c r="T51" s="105">
        <v>5000</v>
      </c>
      <c r="U51" s="105">
        <f t="shared" si="12"/>
        <v>3.6989700043360187</v>
      </c>
      <c r="V51" s="145">
        <v>17</v>
      </c>
      <c r="W51" s="142">
        <v>0</v>
      </c>
      <c r="X51" s="142">
        <v>0</v>
      </c>
      <c r="Y51" s="75">
        <v>1495.3308</v>
      </c>
      <c r="Z51" s="419">
        <f t="shared" si="7"/>
        <v>3.1747372787624943</v>
      </c>
      <c r="AA51" s="75">
        <v>5.4655288807240598</v>
      </c>
      <c r="AB51" s="75">
        <f>LOG10(AA51)</f>
        <v>0.73763219352570786</v>
      </c>
      <c r="AC51" s="258">
        <v>387.67469999999997</v>
      </c>
      <c r="AD51" s="258">
        <f t="shared" si="8"/>
        <v>2.5884674594830512</v>
      </c>
      <c r="AE51" s="387">
        <v>0</v>
      </c>
      <c r="AF51" s="75">
        <v>0</v>
      </c>
      <c r="AG51" s="43">
        <v>0</v>
      </c>
      <c r="AH51" s="258">
        <v>0</v>
      </c>
      <c r="AI51" s="145" t="s">
        <v>60</v>
      </c>
      <c r="AJ51" s="145">
        <v>6</v>
      </c>
      <c r="AK51" s="145" t="s">
        <v>30</v>
      </c>
      <c r="AL51" s="237"/>
      <c r="AM51" s="142" t="s">
        <v>549</v>
      </c>
      <c r="AN51" s="142">
        <v>0</v>
      </c>
      <c r="AO51" s="142">
        <v>0</v>
      </c>
      <c r="AP51" s="105">
        <f t="shared" si="13"/>
        <v>3</v>
      </c>
    </row>
    <row r="52" spans="1:42" ht="15" customHeight="1" x14ac:dyDescent="0.25">
      <c r="A52" s="188" t="s">
        <v>550</v>
      </c>
      <c r="B52" s="188" t="s">
        <v>205</v>
      </c>
      <c r="C52" s="188" t="s">
        <v>584</v>
      </c>
      <c r="D52" s="188" t="s">
        <v>584</v>
      </c>
      <c r="E52" s="190" t="s">
        <v>26</v>
      </c>
      <c r="F52" s="189" t="s">
        <v>31</v>
      </c>
      <c r="G52" s="196" t="s">
        <v>600</v>
      </c>
      <c r="H52" s="196">
        <v>38</v>
      </c>
      <c r="I52" s="196" t="s">
        <v>591</v>
      </c>
      <c r="J52" s="342">
        <v>44658</v>
      </c>
      <c r="K52" s="266">
        <v>44721</v>
      </c>
      <c r="L52" s="196" t="s">
        <v>66</v>
      </c>
      <c r="M52" s="266">
        <v>44733</v>
      </c>
      <c r="N52" s="193">
        <f t="shared" si="10"/>
        <v>12</v>
      </c>
      <c r="O52" s="196">
        <v>1</v>
      </c>
      <c r="P52" s="350"/>
      <c r="Q52" s="353" t="s">
        <v>588</v>
      </c>
      <c r="R52" s="353" t="s">
        <v>588</v>
      </c>
      <c r="S52" s="353">
        <f t="shared" si="11"/>
        <v>3.6989700043360187</v>
      </c>
      <c r="T52" s="196">
        <v>5000</v>
      </c>
      <c r="U52" s="196">
        <f t="shared" si="12"/>
        <v>3.6989700043360187</v>
      </c>
      <c r="V52" s="272">
        <v>5</v>
      </c>
      <c r="W52" s="358">
        <v>0</v>
      </c>
      <c r="X52" s="358">
        <v>0</v>
      </c>
      <c r="Y52" s="364">
        <v>1041259.6</v>
      </c>
      <c r="Z52" s="424">
        <f t="shared" si="7"/>
        <v>6.0175590184559553</v>
      </c>
      <c r="AA52" s="43">
        <v>6.6669277461982199</v>
      </c>
      <c r="AB52" s="364">
        <f>LOG10(AA52)</f>
        <v>0.82392574842128186</v>
      </c>
      <c r="AC52" s="268">
        <v>387.67469999999997</v>
      </c>
      <c r="AD52" s="268">
        <f t="shared" si="8"/>
        <v>2.5884674594830512</v>
      </c>
      <c r="AE52" s="379">
        <v>0</v>
      </c>
      <c r="AF52" s="364">
        <v>0</v>
      </c>
      <c r="AG52" s="364">
        <v>0</v>
      </c>
      <c r="AH52" s="268">
        <v>0</v>
      </c>
      <c r="AI52" s="272" t="s">
        <v>60</v>
      </c>
      <c r="AJ52" s="272">
        <v>6</v>
      </c>
      <c r="AK52" s="272" t="s">
        <v>30</v>
      </c>
      <c r="AL52" s="396"/>
      <c r="AM52" s="358" t="s">
        <v>550</v>
      </c>
      <c r="AN52" s="358">
        <v>0</v>
      </c>
      <c r="AO52" s="358">
        <v>1</v>
      </c>
      <c r="AP52" s="196">
        <f t="shared" si="13"/>
        <v>3</v>
      </c>
    </row>
    <row r="53" spans="1:42" ht="15" customHeight="1" x14ac:dyDescent="0.25">
      <c r="A53" s="78" t="s">
        <v>551</v>
      </c>
      <c r="B53" s="78" t="s">
        <v>205</v>
      </c>
      <c r="C53" s="78" t="s">
        <v>584</v>
      </c>
      <c r="D53" s="78" t="s">
        <v>584</v>
      </c>
      <c r="E53" s="182" t="s">
        <v>26</v>
      </c>
      <c r="F53" s="182" t="s">
        <v>26</v>
      </c>
      <c r="G53" s="80" t="s">
        <v>600</v>
      </c>
      <c r="H53" s="80">
        <v>23</v>
      </c>
      <c r="I53" s="80" t="s">
        <v>591</v>
      </c>
      <c r="J53" s="81">
        <v>44658</v>
      </c>
      <c r="K53" s="82">
        <v>44721</v>
      </c>
      <c r="L53" s="80" t="s">
        <v>66</v>
      </c>
      <c r="M53" s="82">
        <v>44733</v>
      </c>
      <c r="N53" s="84">
        <f t="shared" si="10"/>
        <v>12</v>
      </c>
      <c r="O53" s="80">
        <v>1</v>
      </c>
      <c r="P53" s="85"/>
      <c r="Q53" s="85" t="s">
        <v>81</v>
      </c>
      <c r="R53" s="85" t="s">
        <v>81</v>
      </c>
      <c r="S53" s="85">
        <f t="shared" si="11"/>
        <v>3.6989700043360187</v>
      </c>
      <c r="T53" s="80">
        <v>5000</v>
      </c>
      <c r="U53" s="80">
        <f t="shared" si="12"/>
        <v>3.6989700043360187</v>
      </c>
      <c r="V53" s="134">
        <v>10</v>
      </c>
      <c r="W53" s="130">
        <v>0</v>
      </c>
      <c r="X53" s="130">
        <v>0</v>
      </c>
      <c r="Y53" s="231">
        <v>86862.739999999991</v>
      </c>
      <c r="Z53" s="421">
        <f t="shared" si="7"/>
        <v>4.938833524636066</v>
      </c>
      <c r="AA53" s="231">
        <v>6.4815842169535296</v>
      </c>
      <c r="AB53" s="231">
        <f>LOG10(AA53)</f>
        <v>0.811681168307679</v>
      </c>
      <c r="AC53" s="255">
        <v>667.54470000000003</v>
      </c>
      <c r="AD53" s="255">
        <f t="shared" si="8"/>
        <v>2.8244803521540107</v>
      </c>
      <c r="AE53" s="382">
        <v>0</v>
      </c>
      <c r="AF53" s="231">
        <v>0</v>
      </c>
      <c r="AG53" s="231">
        <v>0</v>
      </c>
      <c r="AH53" s="231">
        <v>0</v>
      </c>
      <c r="AI53" s="134" t="s">
        <v>60</v>
      </c>
      <c r="AJ53" s="134">
        <v>6</v>
      </c>
      <c r="AK53" s="134" t="s">
        <v>30</v>
      </c>
      <c r="AL53" s="232"/>
      <c r="AM53" s="130" t="s">
        <v>551</v>
      </c>
      <c r="AN53" s="130">
        <v>0</v>
      </c>
      <c r="AO53" s="130">
        <v>0</v>
      </c>
      <c r="AP53" s="80">
        <f t="shared" si="13"/>
        <v>4</v>
      </c>
    </row>
    <row r="54" spans="1:42" ht="15" customHeight="1" x14ac:dyDescent="0.25">
      <c r="A54" s="32" t="s">
        <v>132</v>
      </c>
      <c r="B54" s="32" t="s">
        <v>133</v>
      </c>
      <c r="C54" s="32" t="s">
        <v>584</v>
      </c>
      <c r="D54" s="32" t="s">
        <v>584</v>
      </c>
      <c r="E54" s="48" t="s">
        <v>26</v>
      </c>
      <c r="F54" s="33" t="s">
        <v>31</v>
      </c>
      <c r="G54" s="34" t="s">
        <v>61</v>
      </c>
      <c r="H54" s="34" t="s">
        <v>585</v>
      </c>
      <c r="I54" s="34" t="s">
        <v>586</v>
      </c>
      <c r="J54" s="35">
        <v>44461</v>
      </c>
      <c r="K54" s="36">
        <v>44466</v>
      </c>
      <c r="L54" s="34" t="s">
        <v>66</v>
      </c>
      <c r="M54" s="36">
        <v>44490</v>
      </c>
      <c r="N54" s="37">
        <f t="shared" si="10"/>
        <v>24</v>
      </c>
      <c r="O54" s="34">
        <v>1</v>
      </c>
      <c r="P54" s="38"/>
      <c r="Q54" s="34" t="s">
        <v>587</v>
      </c>
      <c r="R54" s="34" t="s">
        <v>588</v>
      </c>
      <c r="S54" s="34">
        <f t="shared" si="11"/>
        <v>3.6989700043360187</v>
      </c>
      <c r="T54" s="39">
        <v>5000</v>
      </c>
      <c r="U54" s="39">
        <f t="shared" si="12"/>
        <v>3.6989700043360187</v>
      </c>
      <c r="V54" s="40">
        <v>1</v>
      </c>
      <c r="W54" s="53">
        <v>0</v>
      </c>
      <c r="X54" s="53">
        <v>0</v>
      </c>
      <c r="Y54" s="43">
        <v>10216792</v>
      </c>
      <c r="Z54" s="411">
        <f t="shared" si="7"/>
        <v>7.0093145518255904</v>
      </c>
      <c r="AA54" s="44"/>
      <c r="AB54" s="44"/>
      <c r="AC54" s="43">
        <v>130311256.7886536</v>
      </c>
      <c r="AD54" s="43">
        <f t="shared" si="8"/>
        <v>8.1149819333644277</v>
      </c>
      <c r="AE54" s="45">
        <v>0</v>
      </c>
      <c r="AF54" s="43">
        <v>0</v>
      </c>
      <c r="AG54" s="46">
        <v>2.0606978403536118</v>
      </c>
      <c r="AH54" s="43">
        <f t="shared" ref="AH54:AH59" si="16">LOG10(AG54)</f>
        <v>0.31401431594833051</v>
      </c>
      <c r="AI54" s="40" t="s">
        <v>29</v>
      </c>
      <c r="AJ54" s="40">
        <v>5</v>
      </c>
      <c r="AK54" s="40" t="s">
        <v>30</v>
      </c>
      <c r="AL54" s="47"/>
      <c r="AM54" s="40" t="s">
        <v>132</v>
      </c>
      <c r="AN54" s="40">
        <v>0</v>
      </c>
      <c r="AO54" s="40">
        <v>1</v>
      </c>
      <c r="AP54" s="34">
        <f t="shared" ref="AP54:AP67" si="17">SUM(AM54,AO54)</f>
        <v>1</v>
      </c>
    </row>
    <row r="55" spans="1:42" ht="15" customHeight="1" x14ac:dyDescent="0.25">
      <c r="A55" s="32" t="s">
        <v>134</v>
      </c>
      <c r="B55" s="32" t="s">
        <v>133</v>
      </c>
      <c r="C55" s="32" t="s">
        <v>589</v>
      </c>
      <c r="D55" s="32" t="s">
        <v>584</v>
      </c>
      <c r="E55" s="33" t="s">
        <v>31</v>
      </c>
      <c r="F55" s="33" t="s">
        <v>31</v>
      </c>
      <c r="G55" s="34" t="s">
        <v>61</v>
      </c>
      <c r="H55" s="34" t="s">
        <v>585</v>
      </c>
      <c r="I55" s="34" t="s">
        <v>586</v>
      </c>
      <c r="J55" s="35">
        <v>44461</v>
      </c>
      <c r="K55" s="36">
        <v>44466</v>
      </c>
      <c r="L55" s="34" t="s">
        <v>66</v>
      </c>
      <c r="M55" s="36">
        <v>44490</v>
      </c>
      <c r="N55" s="37">
        <f t="shared" si="10"/>
        <v>24</v>
      </c>
      <c r="O55" s="34">
        <v>1</v>
      </c>
      <c r="P55" s="38"/>
      <c r="Q55" s="34" t="s">
        <v>587</v>
      </c>
      <c r="R55" s="34" t="s">
        <v>588</v>
      </c>
      <c r="S55" s="34">
        <f t="shared" si="11"/>
        <v>3.6989700043360187</v>
      </c>
      <c r="T55" s="39">
        <v>5000</v>
      </c>
      <c r="U55" s="39">
        <f t="shared" si="12"/>
        <v>3.6989700043360187</v>
      </c>
      <c r="V55" s="40">
        <v>9</v>
      </c>
      <c r="W55" s="41">
        <v>2</v>
      </c>
      <c r="X55" s="42" t="s">
        <v>590</v>
      </c>
      <c r="Y55" s="43">
        <v>29294200</v>
      </c>
      <c r="Z55" s="411">
        <f t="shared" si="7"/>
        <v>7.4667816422879092</v>
      </c>
      <c r="AA55" s="44"/>
      <c r="AB55" s="44"/>
      <c r="AC55" s="43">
        <v>45800000000</v>
      </c>
      <c r="AD55" s="43">
        <f t="shared" si="8"/>
        <v>10.660865478003869</v>
      </c>
      <c r="AE55" s="45">
        <v>33500000</v>
      </c>
      <c r="AF55" s="43">
        <f>LOG10(AE55)</f>
        <v>7.5250448070368456</v>
      </c>
      <c r="AG55" s="46">
        <v>3.3424226808222062</v>
      </c>
      <c r="AH55" s="43">
        <f t="shared" si="16"/>
        <v>0.52406136965708927</v>
      </c>
      <c r="AI55" s="40" t="s">
        <v>29</v>
      </c>
      <c r="AJ55" s="40">
        <v>5</v>
      </c>
      <c r="AK55" s="40" t="s">
        <v>30</v>
      </c>
      <c r="AL55" s="47"/>
      <c r="AM55" s="40" t="s">
        <v>134</v>
      </c>
      <c r="AN55" s="40">
        <v>5</v>
      </c>
      <c r="AO55" s="40">
        <v>4</v>
      </c>
      <c r="AP55" s="34">
        <f t="shared" si="17"/>
        <v>4</v>
      </c>
    </row>
    <row r="56" spans="1:42" ht="15" customHeight="1" x14ac:dyDescent="0.25">
      <c r="A56" s="32" t="s">
        <v>135</v>
      </c>
      <c r="B56" s="32" t="s">
        <v>133</v>
      </c>
      <c r="C56" s="32" t="s">
        <v>584</v>
      </c>
      <c r="D56" s="32" t="s">
        <v>584</v>
      </c>
      <c r="E56" s="48" t="s">
        <v>26</v>
      </c>
      <c r="F56" s="33" t="s">
        <v>31</v>
      </c>
      <c r="G56" s="34" t="s">
        <v>61</v>
      </c>
      <c r="H56" s="34" t="s">
        <v>585</v>
      </c>
      <c r="I56" s="34" t="s">
        <v>591</v>
      </c>
      <c r="J56" s="35">
        <v>44461</v>
      </c>
      <c r="K56" s="36">
        <v>44466</v>
      </c>
      <c r="L56" s="34" t="s">
        <v>66</v>
      </c>
      <c r="M56" s="36">
        <v>44490</v>
      </c>
      <c r="N56" s="37">
        <f t="shared" si="10"/>
        <v>24</v>
      </c>
      <c r="O56" s="34">
        <v>1</v>
      </c>
      <c r="P56" s="38"/>
      <c r="Q56" s="34" t="s">
        <v>136</v>
      </c>
      <c r="R56" s="34" t="s">
        <v>588</v>
      </c>
      <c r="S56" s="34">
        <f t="shared" si="11"/>
        <v>3.6990568545476679</v>
      </c>
      <c r="T56" s="39">
        <v>5001</v>
      </c>
      <c r="U56" s="39">
        <f t="shared" si="12"/>
        <v>3.6990568545476679</v>
      </c>
      <c r="V56" s="34">
        <v>25</v>
      </c>
      <c r="W56" s="49">
        <v>0</v>
      </c>
      <c r="X56" s="49">
        <v>0</v>
      </c>
      <c r="Y56" s="39">
        <v>178000000</v>
      </c>
      <c r="Z56" s="415">
        <f t="shared" si="7"/>
        <v>8.2504200023088945</v>
      </c>
      <c r="AA56" s="50"/>
      <c r="AB56" s="50"/>
      <c r="AC56" s="39">
        <v>12200000</v>
      </c>
      <c r="AD56" s="39">
        <f t="shared" si="8"/>
        <v>7.0863598306747484</v>
      </c>
      <c r="AE56" s="39">
        <v>400</v>
      </c>
      <c r="AF56" s="39">
        <f>LOG10(AE56)</f>
        <v>2.6020599913279625</v>
      </c>
      <c r="AG56" s="51">
        <v>4.3891660843645326</v>
      </c>
      <c r="AH56" s="43">
        <f t="shared" si="16"/>
        <v>0.64238201469285505</v>
      </c>
      <c r="AI56" s="40" t="s">
        <v>60</v>
      </c>
      <c r="AJ56" s="40">
        <v>5</v>
      </c>
      <c r="AK56" s="34" t="s">
        <v>30</v>
      </c>
      <c r="AL56" s="52"/>
      <c r="AM56" s="34" t="s">
        <v>135</v>
      </c>
      <c r="AN56" s="34">
        <v>0</v>
      </c>
      <c r="AO56" s="34">
        <v>4</v>
      </c>
      <c r="AP56" s="34">
        <f t="shared" si="17"/>
        <v>4</v>
      </c>
    </row>
    <row r="57" spans="1:42" ht="15" customHeight="1" x14ac:dyDescent="0.25">
      <c r="A57" s="32" t="s">
        <v>137</v>
      </c>
      <c r="B57" s="32" t="s">
        <v>133</v>
      </c>
      <c r="C57" s="32" t="s">
        <v>584</v>
      </c>
      <c r="D57" s="32" t="s">
        <v>584</v>
      </c>
      <c r="E57" s="48" t="s">
        <v>26</v>
      </c>
      <c r="F57" s="48" t="s">
        <v>26</v>
      </c>
      <c r="G57" s="34" t="s">
        <v>61</v>
      </c>
      <c r="H57" s="34" t="s">
        <v>585</v>
      </c>
      <c r="I57" s="34" t="s">
        <v>591</v>
      </c>
      <c r="J57" s="35">
        <v>44461</v>
      </c>
      <c r="K57" s="36">
        <v>44466</v>
      </c>
      <c r="L57" s="34" t="s">
        <v>66</v>
      </c>
      <c r="M57" s="36">
        <v>44490</v>
      </c>
      <c r="N57" s="37">
        <f t="shared" si="10"/>
        <v>24</v>
      </c>
      <c r="O57" s="34">
        <v>1</v>
      </c>
      <c r="P57" s="38"/>
      <c r="Q57" s="34" t="s">
        <v>136</v>
      </c>
      <c r="R57" s="34" t="s">
        <v>588</v>
      </c>
      <c r="S57" s="34">
        <f t="shared" si="11"/>
        <v>3.6989700043360187</v>
      </c>
      <c r="T57" s="39">
        <v>5000</v>
      </c>
      <c r="U57" s="39">
        <f t="shared" si="12"/>
        <v>3.6989700043360187</v>
      </c>
      <c r="V57" s="40">
        <v>4</v>
      </c>
      <c r="W57" s="53">
        <v>0</v>
      </c>
      <c r="X57" s="53">
        <v>0</v>
      </c>
      <c r="Y57" s="43">
        <v>72387640</v>
      </c>
      <c r="Z57" s="411">
        <f t="shared" si="7"/>
        <v>7.8596644178815946</v>
      </c>
      <c r="AA57" s="44"/>
      <c r="AB57" s="44"/>
      <c r="AC57" s="43">
        <v>4480000</v>
      </c>
      <c r="AD57" s="43">
        <f t="shared" si="8"/>
        <v>6.6512780139981444</v>
      </c>
      <c r="AE57" s="45">
        <v>0</v>
      </c>
      <c r="AF57" s="43">
        <v>0</v>
      </c>
      <c r="AG57" s="54">
        <v>3.3891660843645326</v>
      </c>
      <c r="AH57" s="43">
        <f t="shared" si="16"/>
        <v>0.53009285173961573</v>
      </c>
      <c r="AI57" s="40" t="s">
        <v>29</v>
      </c>
      <c r="AJ57" s="40">
        <v>5</v>
      </c>
      <c r="AK57" s="40" t="s">
        <v>30</v>
      </c>
      <c r="AL57" s="47"/>
      <c r="AM57" s="40" t="s">
        <v>137</v>
      </c>
      <c r="AN57" s="40">
        <v>0</v>
      </c>
      <c r="AO57" s="40">
        <v>0</v>
      </c>
      <c r="AP57" s="34">
        <f t="shared" si="17"/>
        <v>0</v>
      </c>
    </row>
    <row r="58" spans="1:42" ht="15" customHeight="1" x14ac:dyDescent="0.25">
      <c r="A58" s="32" t="s">
        <v>138</v>
      </c>
      <c r="B58" s="32" t="s">
        <v>133</v>
      </c>
      <c r="C58" s="32" t="s">
        <v>589</v>
      </c>
      <c r="D58" s="32" t="s">
        <v>584</v>
      </c>
      <c r="E58" s="33" t="s">
        <v>31</v>
      </c>
      <c r="F58" s="33" t="s">
        <v>31</v>
      </c>
      <c r="G58" s="34" t="s">
        <v>61</v>
      </c>
      <c r="H58" s="34" t="s">
        <v>585</v>
      </c>
      <c r="I58" s="34" t="s">
        <v>591</v>
      </c>
      <c r="J58" s="35">
        <v>44461</v>
      </c>
      <c r="K58" s="36">
        <v>44466</v>
      </c>
      <c r="L58" s="34" t="s">
        <v>66</v>
      </c>
      <c r="M58" s="36">
        <v>44490</v>
      </c>
      <c r="N58" s="37">
        <f t="shared" si="10"/>
        <v>24</v>
      </c>
      <c r="O58" s="34">
        <v>1</v>
      </c>
      <c r="P58" s="38"/>
      <c r="Q58" s="34" t="s">
        <v>592</v>
      </c>
      <c r="R58" s="34" t="s">
        <v>588</v>
      </c>
      <c r="S58" s="34">
        <f t="shared" si="11"/>
        <v>3.6989700043360187</v>
      </c>
      <c r="T58" s="55">
        <v>5000</v>
      </c>
      <c r="U58" s="55">
        <f t="shared" si="12"/>
        <v>3.6989700043360187</v>
      </c>
      <c r="V58" s="53">
        <v>16</v>
      </c>
      <c r="W58" s="41">
        <v>1</v>
      </c>
      <c r="X58" s="42" t="s">
        <v>593</v>
      </c>
      <c r="Y58" s="56">
        <v>9194268</v>
      </c>
      <c r="Z58" s="57">
        <f t="shared" si="7"/>
        <v>6.9635171586730271</v>
      </c>
      <c r="AA58" s="44"/>
      <c r="AB58" s="44"/>
      <c r="AC58" s="43">
        <v>4030887400</v>
      </c>
      <c r="AD58" s="43">
        <f t="shared" si="8"/>
        <v>9.6054006666120753</v>
      </c>
      <c r="AE58" s="45">
        <v>2000</v>
      </c>
      <c r="AF58" s="43">
        <f>LOG10(AE58)</f>
        <v>3.3010299956639813</v>
      </c>
      <c r="AG58" s="57">
        <v>3.4983105537896004</v>
      </c>
      <c r="AH58" s="43">
        <f t="shared" si="16"/>
        <v>0.54385836026287693</v>
      </c>
      <c r="AI58" s="40" t="s">
        <v>60</v>
      </c>
      <c r="AJ58" s="40">
        <v>5</v>
      </c>
      <c r="AK58" s="40" t="s">
        <v>30</v>
      </c>
      <c r="AL58" s="47"/>
      <c r="AM58" s="40" t="s">
        <v>138</v>
      </c>
      <c r="AN58" s="40">
        <v>3</v>
      </c>
      <c r="AO58" s="40">
        <v>3</v>
      </c>
      <c r="AP58" s="34">
        <f t="shared" si="17"/>
        <v>3</v>
      </c>
    </row>
    <row r="59" spans="1:42" ht="15" customHeight="1" x14ac:dyDescent="0.25">
      <c r="A59" s="15" t="s">
        <v>140</v>
      </c>
      <c r="B59" s="15" t="s">
        <v>133</v>
      </c>
      <c r="C59" s="15" t="s">
        <v>589</v>
      </c>
      <c r="D59" s="15" t="s">
        <v>584</v>
      </c>
      <c r="E59" s="17" t="s">
        <v>31</v>
      </c>
      <c r="F59" s="17" t="s">
        <v>31</v>
      </c>
      <c r="G59" s="18" t="s">
        <v>61</v>
      </c>
      <c r="H59" s="18" t="s">
        <v>585</v>
      </c>
      <c r="I59" s="18" t="s">
        <v>591</v>
      </c>
      <c r="J59" s="19">
        <v>44461</v>
      </c>
      <c r="K59" s="20">
        <v>44466</v>
      </c>
      <c r="L59" s="18" t="s">
        <v>66</v>
      </c>
      <c r="M59" s="20">
        <v>44490</v>
      </c>
      <c r="N59" s="21">
        <f t="shared" si="10"/>
        <v>24</v>
      </c>
      <c r="O59" s="18">
        <v>1</v>
      </c>
      <c r="P59" s="18"/>
      <c r="Q59" s="18" t="s">
        <v>141</v>
      </c>
      <c r="R59" s="18" t="s">
        <v>588</v>
      </c>
      <c r="S59" s="119">
        <f t="shared" si="11"/>
        <v>3.6989700043360187</v>
      </c>
      <c r="T59" s="120">
        <v>5000</v>
      </c>
      <c r="U59" s="120">
        <f t="shared" si="12"/>
        <v>3.6989700043360187</v>
      </c>
      <c r="V59" s="25">
        <v>16</v>
      </c>
      <c r="W59" s="148">
        <v>1</v>
      </c>
      <c r="X59" s="363" t="s">
        <v>594</v>
      </c>
      <c r="Y59" s="122">
        <v>1578099000</v>
      </c>
      <c r="Z59" s="425">
        <f t="shared" si="7"/>
        <v>9.1981342446307259</v>
      </c>
      <c r="AA59" s="27"/>
      <c r="AB59" s="27"/>
      <c r="AC59" s="26">
        <v>9658729200</v>
      </c>
      <c r="AD59" s="26">
        <f t="shared" si="8"/>
        <v>9.9849199900042223</v>
      </c>
      <c r="AE59" s="28">
        <v>2750</v>
      </c>
      <c r="AF59" s="26">
        <f>LOG10(AE59)</f>
        <v>3.4393326938302629</v>
      </c>
      <c r="AG59" s="384">
        <v>3.3521825181113627</v>
      </c>
      <c r="AH59" s="26">
        <f t="shared" si="16"/>
        <v>0.52532765687072003</v>
      </c>
      <c r="AI59" s="24" t="s">
        <v>29</v>
      </c>
      <c r="AJ59" s="24">
        <v>5</v>
      </c>
      <c r="AK59" s="24" t="s">
        <v>30</v>
      </c>
      <c r="AL59" s="31"/>
      <c r="AM59" s="24" t="s">
        <v>140</v>
      </c>
      <c r="AN59" s="24">
        <v>5</v>
      </c>
      <c r="AO59" s="24">
        <v>3</v>
      </c>
      <c r="AP59" s="18">
        <f t="shared" si="17"/>
        <v>3</v>
      </c>
    </row>
    <row r="60" spans="1:42" ht="15" customHeight="1" x14ac:dyDescent="0.25">
      <c r="A60" s="32" t="s">
        <v>142</v>
      </c>
      <c r="B60" s="32" t="s">
        <v>133</v>
      </c>
      <c r="C60" s="32" t="s">
        <v>584</v>
      </c>
      <c r="D60" s="32" t="s">
        <v>584</v>
      </c>
      <c r="E60" s="48" t="s">
        <v>26</v>
      </c>
      <c r="F60" s="48" t="s">
        <v>26</v>
      </c>
      <c r="G60" s="34" t="s">
        <v>61</v>
      </c>
      <c r="H60" s="34" t="s">
        <v>585</v>
      </c>
      <c r="I60" s="34" t="s">
        <v>591</v>
      </c>
      <c r="J60" s="35">
        <v>44461</v>
      </c>
      <c r="K60" s="36">
        <v>44466</v>
      </c>
      <c r="L60" s="34" t="s">
        <v>66</v>
      </c>
      <c r="M60" s="36">
        <v>44490</v>
      </c>
      <c r="N60" s="37">
        <f t="shared" si="10"/>
        <v>24</v>
      </c>
      <c r="O60" s="34">
        <v>1</v>
      </c>
      <c r="P60" s="38"/>
      <c r="Q60" s="34" t="s">
        <v>141</v>
      </c>
      <c r="R60" s="34" t="s">
        <v>588</v>
      </c>
      <c r="S60" s="49">
        <f t="shared" si="11"/>
        <v>3.6989700043360187</v>
      </c>
      <c r="T60" s="55">
        <v>5000</v>
      </c>
      <c r="U60" s="55">
        <f t="shared" si="12"/>
        <v>3.6989700043360187</v>
      </c>
      <c r="V60" s="53">
        <v>2</v>
      </c>
      <c r="W60" s="53">
        <v>0</v>
      </c>
      <c r="X60" s="53">
        <v>0</v>
      </c>
      <c r="Y60" s="56">
        <v>566437.4</v>
      </c>
      <c r="Z60" s="57">
        <f t="shared" si="7"/>
        <v>5.7531519206658022</v>
      </c>
      <c r="AA60" s="44"/>
      <c r="AB60" s="44"/>
      <c r="AC60" s="43">
        <v>15087357.999999998</v>
      </c>
      <c r="AD60" s="43">
        <f t="shared" si="8"/>
        <v>7.1786131956086932</v>
      </c>
      <c r="AE60" s="45">
        <v>0</v>
      </c>
      <c r="AF60" s="43">
        <v>0</v>
      </c>
      <c r="AG60" s="46">
        <v>0</v>
      </c>
      <c r="AH60" s="43">
        <v>0</v>
      </c>
      <c r="AI60" s="40" t="s">
        <v>29</v>
      </c>
      <c r="AJ60" s="40">
        <v>5</v>
      </c>
      <c r="AK60" s="40" t="s">
        <v>30</v>
      </c>
      <c r="AL60" s="47"/>
      <c r="AM60" s="40" t="s">
        <v>142</v>
      </c>
      <c r="AN60" s="40">
        <v>0</v>
      </c>
      <c r="AO60" s="40">
        <v>0</v>
      </c>
      <c r="AP60" s="34">
        <f t="shared" si="17"/>
        <v>0</v>
      </c>
    </row>
    <row r="61" spans="1:42" ht="15" customHeight="1" x14ac:dyDescent="0.25">
      <c r="A61" s="58" t="s">
        <v>143</v>
      </c>
      <c r="B61" s="58" t="s">
        <v>133</v>
      </c>
      <c r="C61" s="58" t="s">
        <v>589</v>
      </c>
      <c r="D61" s="58" t="s">
        <v>584</v>
      </c>
      <c r="E61" s="60" t="s">
        <v>31</v>
      </c>
      <c r="F61" s="60" t="s">
        <v>31</v>
      </c>
      <c r="G61" s="61" t="s">
        <v>61</v>
      </c>
      <c r="H61" s="61" t="s">
        <v>585</v>
      </c>
      <c r="I61" s="61" t="s">
        <v>591</v>
      </c>
      <c r="J61" s="62">
        <v>44461</v>
      </c>
      <c r="K61" s="63">
        <v>44466</v>
      </c>
      <c r="L61" s="61" t="s">
        <v>66</v>
      </c>
      <c r="M61" s="63">
        <v>44490</v>
      </c>
      <c r="N61" s="64">
        <f t="shared" si="10"/>
        <v>24</v>
      </c>
      <c r="O61" s="61">
        <v>1</v>
      </c>
      <c r="P61" s="65"/>
      <c r="Q61" s="61" t="s">
        <v>144</v>
      </c>
      <c r="R61" s="61" t="s">
        <v>588</v>
      </c>
      <c r="S61" s="66">
        <f t="shared" si="11"/>
        <v>3.6989700043360187</v>
      </c>
      <c r="T61" s="67">
        <v>5000</v>
      </c>
      <c r="U61" s="67">
        <f t="shared" si="12"/>
        <v>3.6989700043360187</v>
      </c>
      <c r="V61" s="68">
        <v>26</v>
      </c>
      <c r="W61" s="359">
        <v>1</v>
      </c>
      <c r="X61" s="362" t="s">
        <v>595</v>
      </c>
      <c r="Y61" s="69">
        <v>49038980</v>
      </c>
      <c r="Z61" s="426">
        <f t="shared" si="7"/>
        <v>7.6905414283745825</v>
      </c>
      <c r="AA61" s="70"/>
      <c r="AB61" s="70"/>
      <c r="AC61" s="71">
        <v>14907308400</v>
      </c>
      <c r="AD61" s="71">
        <f t="shared" si="8"/>
        <v>10.173399236172566</v>
      </c>
      <c r="AE61" s="72">
        <v>600</v>
      </c>
      <c r="AF61" s="73">
        <f>LOG10(AE61)</f>
        <v>2.7781512503836434</v>
      </c>
      <c r="AG61" s="74">
        <v>2.2174839442139063</v>
      </c>
      <c r="AH61" s="73">
        <f>LOG10(AG61)</f>
        <v>0.34586048398762104</v>
      </c>
      <c r="AI61" s="76" t="s">
        <v>29</v>
      </c>
      <c r="AJ61" s="76">
        <v>5</v>
      </c>
      <c r="AK61" s="76" t="s">
        <v>30</v>
      </c>
      <c r="AL61" s="77"/>
      <c r="AM61" s="76" t="s">
        <v>143</v>
      </c>
      <c r="AN61" s="76">
        <v>3</v>
      </c>
      <c r="AO61" s="76">
        <v>3</v>
      </c>
      <c r="AP61" s="61">
        <f t="shared" si="17"/>
        <v>3</v>
      </c>
    </row>
    <row r="62" spans="1:42" ht="15" customHeight="1" x14ac:dyDescent="0.25">
      <c r="A62" s="78" t="s">
        <v>145</v>
      </c>
      <c r="B62" s="78" t="s">
        <v>133</v>
      </c>
      <c r="C62" s="78" t="s">
        <v>584</v>
      </c>
      <c r="D62" s="78" t="s">
        <v>584</v>
      </c>
      <c r="E62" s="182" t="s">
        <v>26</v>
      </c>
      <c r="F62" s="79" t="s">
        <v>31</v>
      </c>
      <c r="G62" s="80" t="s">
        <v>61</v>
      </c>
      <c r="H62" s="80" t="s">
        <v>585</v>
      </c>
      <c r="I62" s="80" t="s">
        <v>591</v>
      </c>
      <c r="J62" s="81">
        <v>44461</v>
      </c>
      <c r="K62" s="82">
        <v>44466</v>
      </c>
      <c r="L62" s="80" t="s">
        <v>66</v>
      </c>
      <c r="M62" s="82">
        <v>44490</v>
      </c>
      <c r="N62" s="84">
        <f t="shared" si="10"/>
        <v>24</v>
      </c>
      <c r="O62" s="80">
        <v>1</v>
      </c>
      <c r="P62" s="80"/>
      <c r="Q62" s="80" t="s">
        <v>144</v>
      </c>
      <c r="R62" s="80" t="s">
        <v>588</v>
      </c>
      <c r="S62" s="89">
        <f t="shared" si="11"/>
        <v>3.6989700043360187</v>
      </c>
      <c r="T62" s="88">
        <v>5000</v>
      </c>
      <c r="U62" s="88">
        <f t="shared" si="12"/>
        <v>3.6989700043360187</v>
      </c>
      <c r="V62" s="130">
        <v>24</v>
      </c>
      <c r="W62" s="130">
        <v>0</v>
      </c>
      <c r="X62" s="130">
        <v>0</v>
      </c>
      <c r="Y62" s="131">
        <v>18737640</v>
      </c>
      <c r="Z62" s="417">
        <f t="shared" si="7"/>
        <v>7.2727148907396089</v>
      </c>
      <c r="AA62" s="373"/>
      <c r="AB62" s="373"/>
      <c r="AC62" s="255">
        <v>144142040</v>
      </c>
      <c r="AD62" s="255">
        <f t="shared" si="8"/>
        <v>8.1587906642092953</v>
      </c>
      <c r="AE62" s="28">
        <v>0</v>
      </c>
      <c r="AF62" s="26">
        <v>0</v>
      </c>
      <c r="AG62" s="29">
        <v>2.1303337684950061</v>
      </c>
      <c r="AH62" s="26">
        <f>LOG10(AG62)</f>
        <v>0.3284476515419088</v>
      </c>
      <c r="AI62" s="134" t="s">
        <v>29</v>
      </c>
      <c r="AJ62" s="134">
        <v>5</v>
      </c>
      <c r="AK62" s="134" t="s">
        <v>30</v>
      </c>
      <c r="AL62" s="232"/>
      <c r="AM62" s="134" t="s">
        <v>145</v>
      </c>
      <c r="AN62" s="134">
        <v>0</v>
      </c>
      <c r="AO62" s="134">
        <v>2</v>
      </c>
      <c r="AP62" s="80">
        <f t="shared" si="17"/>
        <v>2</v>
      </c>
    </row>
    <row r="63" spans="1:42" ht="15" customHeight="1" x14ac:dyDescent="0.25">
      <c r="A63" s="32" t="s">
        <v>64</v>
      </c>
      <c r="B63" s="32" t="s">
        <v>58</v>
      </c>
      <c r="C63" s="32" t="s">
        <v>584</v>
      </c>
      <c r="D63" s="32" t="s">
        <v>584</v>
      </c>
      <c r="E63" s="48" t="s">
        <v>26</v>
      </c>
      <c r="F63" s="48" t="s">
        <v>26</v>
      </c>
      <c r="G63" s="34" t="s">
        <v>61</v>
      </c>
      <c r="H63" s="34">
        <v>26</v>
      </c>
      <c r="I63" s="34" t="s">
        <v>586</v>
      </c>
      <c r="J63" s="35">
        <v>44231</v>
      </c>
      <c r="K63" s="36">
        <v>44237</v>
      </c>
      <c r="L63" s="34" t="s">
        <v>66</v>
      </c>
      <c r="M63" s="36">
        <v>44260</v>
      </c>
      <c r="N63" s="37">
        <f t="shared" si="10"/>
        <v>23</v>
      </c>
      <c r="O63" s="34">
        <v>1</v>
      </c>
      <c r="P63" s="97"/>
      <c r="Q63" s="34" t="s">
        <v>613</v>
      </c>
      <c r="R63" s="34" t="s">
        <v>588</v>
      </c>
      <c r="S63" s="49">
        <f t="shared" si="11"/>
        <v>5.4771212547196626</v>
      </c>
      <c r="T63" s="55">
        <v>300000</v>
      </c>
      <c r="U63" s="55">
        <f t="shared" si="12"/>
        <v>5.4771212547196626</v>
      </c>
      <c r="V63" s="53">
        <v>14</v>
      </c>
      <c r="W63" s="53">
        <v>0</v>
      </c>
      <c r="X63" s="53">
        <v>0</v>
      </c>
      <c r="Y63" s="56">
        <v>13412190.904939741</v>
      </c>
      <c r="Z63" s="57">
        <f t="shared" si="7"/>
        <v>7.1274997264128999</v>
      </c>
      <c r="AA63" s="56">
        <v>9.4945054908833999</v>
      </c>
      <c r="AB63" s="100">
        <f>LOG10(AA63)</f>
        <v>0.97747234999211907</v>
      </c>
      <c r="AC63" s="43">
        <v>763119855749.76599</v>
      </c>
      <c r="AD63" s="43">
        <f t="shared" si="8"/>
        <v>11.882592753685982</v>
      </c>
      <c r="AE63" s="383">
        <v>60000</v>
      </c>
      <c r="AF63" s="137">
        <f>LOG10(AE63)</f>
        <v>4.7781512503836439</v>
      </c>
      <c r="AG63" s="137">
        <v>2.6989700043360187</v>
      </c>
      <c r="AH63" s="137">
        <f>LOG10(AG63)</f>
        <v>0.4311980579452766</v>
      </c>
      <c r="AI63" s="40" t="s">
        <v>29</v>
      </c>
      <c r="AJ63" s="40">
        <v>5</v>
      </c>
      <c r="AK63" s="40" t="s">
        <v>30</v>
      </c>
      <c r="AL63" s="47"/>
      <c r="AM63" s="40" t="s">
        <v>64</v>
      </c>
      <c r="AN63" s="40">
        <v>0</v>
      </c>
      <c r="AO63" s="40">
        <v>0</v>
      </c>
      <c r="AP63" s="34">
        <f t="shared" si="17"/>
        <v>0</v>
      </c>
    </row>
    <row r="64" spans="1:42" ht="15" customHeight="1" x14ac:dyDescent="0.25">
      <c r="A64" s="32" t="s">
        <v>451</v>
      </c>
      <c r="B64" s="32" t="s">
        <v>91</v>
      </c>
      <c r="C64" s="32" t="s">
        <v>589</v>
      </c>
      <c r="D64" s="32" t="s">
        <v>584</v>
      </c>
      <c r="E64" s="33" t="s">
        <v>31</v>
      </c>
      <c r="F64" s="33" t="s">
        <v>31</v>
      </c>
      <c r="G64" s="34" t="s">
        <v>61</v>
      </c>
      <c r="H64" s="34">
        <v>7</v>
      </c>
      <c r="I64" s="34" t="s">
        <v>591</v>
      </c>
      <c r="J64" s="35">
        <v>44295</v>
      </c>
      <c r="K64" s="36">
        <v>44301</v>
      </c>
      <c r="L64" s="34" t="s">
        <v>66</v>
      </c>
      <c r="M64" s="36">
        <v>44322</v>
      </c>
      <c r="N64" s="37">
        <f t="shared" si="10"/>
        <v>21</v>
      </c>
      <c r="O64" s="34">
        <v>1</v>
      </c>
      <c r="P64" s="38"/>
      <c r="Q64" s="34" t="s">
        <v>587</v>
      </c>
      <c r="R64" s="34" t="s">
        <v>588</v>
      </c>
      <c r="S64" s="49">
        <f t="shared" si="11"/>
        <v>3.6989700043360187</v>
      </c>
      <c r="T64" s="55">
        <v>5000</v>
      </c>
      <c r="U64" s="55">
        <f t="shared" si="12"/>
        <v>3.6989700043360187</v>
      </c>
      <c r="V64" s="53">
        <v>13</v>
      </c>
      <c r="W64" s="53">
        <v>0</v>
      </c>
      <c r="X64" s="53">
        <v>0</v>
      </c>
      <c r="Y64" s="56">
        <v>22175753.91</v>
      </c>
      <c r="Z64" s="57">
        <f t="shared" si="7"/>
        <v>7.3458783934817644</v>
      </c>
      <c r="AA64" s="56">
        <v>10.519677636256899</v>
      </c>
      <c r="AB64" s="100">
        <f>LOG10(AA64)</f>
        <v>1.0220024315534755</v>
      </c>
      <c r="AC64" s="56">
        <v>2996970000000</v>
      </c>
      <c r="AD64" s="56">
        <f t="shared" si="8"/>
        <v>12.476682395631775</v>
      </c>
      <c r="AE64" s="45">
        <v>25000000</v>
      </c>
      <c r="AF64" s="56">
        <f>LOG10(AE64)</f>
        <v>7.3979400086720375</v>
      </c>
      <c r="AG64" s="46">
        <v>4.5797835966168101</v>
      </c>
      <c r="AH64" s="137">
        <f>LOG10(AG64)</f>
        <v>0.6608449572581091</v>
      </c>
      <c r="AI64" s="53" t="s">
        <v>29</v>
      </c>
      <c r="AJ64" s="53">
        <v>5</v>
      </c>
      <c r="AK64" s="53" t="s">
        <v>30</v>
      </c>
      <c r="AL64" s="138"/>
      <c r="AM64" s="40" t="s">
        <v>451</v>
      </c>
      <c r="AN64" s="40">
        <v>5</v>
      </c>
      <c r="AO64" s="40">
        <v>2</v>
      </c>
      <c r="AP64" s="34">
        <f t="shared" si="17"/>
        <v>2</v>
      </c>
    </row>
    <row r="65" spans="1:42" ht="15" customHeight="1" x14ac:dyDescent="0.25">
      <c r="A65" s="32" t="s">
        <v>452</v>
      </c>
      <c r="B65" s="32" t="s">
        <v>91</v>
      </c>
      <c r="C65" s="32" t="s">
        <v>589</v>
      </c>
      <c r="D65" s="32" t="s">
        <v>584</v>
      </c>
      <c r="E65" s="33" t="s">
        <v>31</v>
      </c>
      <c r="F65" s="33" t="s">
        <v>31</v>
      </c>
      <c r="G65" s="34" t="s">
        <v>61</v>
      </c>
      <c r="H65" s="34">
        <v>7</v>
      </c>
      <c r="I65" s="34" t="s">
        <v>591</v>
      </c>
      <c r="J65" s="35">
        <v>44295</v>
      </c>
      <c r="K65" s="36">
        <v>44301</v>
      </c>
      <c r="L65" s="34" t="s">
        <v>66</v>
      </c>
      <c r="M65" s="36">
        <v>44322</v>
      </c>
      <c r="N65" s="37">
        <f t="shared" si="10"/>
        <v>21</v>
      </c>
      <c r="O65" s="34">
        <v>1</v>
      </c>
      <c r="P65" s="38"/>
      <c r="Q65" s="34" t="s">
        <v>96</v>
      </c>
      <c r="R65" s="34" t="s">
        <v>618</v>
      </c>
      <c r="S65" s="49">
        <f t="shared" si="11"/>
        <v>3.3979400086720375</v>
      </c>
      <c r="T65" s="55">
        <v>2500</v>
      </c>
      <c r="U65" s="55">
        <f t="shared" si="12"/>
        <v>3.3979400086720375</v>
      </c>
      <c r="V65" s="53">
        <v>16</v>
      </c>
      <c r="W65" s="49">
        <v>0</v>
      </c>
      <c r="X65" s="135" t="s">
        <v>619</v>
      </c>
      <c r="Y65" s="56">
        <v>3026975</v>
      </c>
      <c r="Z65" s="57">
        <f t="shared" si="7"/>
        <v>6.4810088341026306</v>
      </c>
      <c r="AA65" s="56">
        <v>9.2648178230095404</v>
      </c>
      <c r="AB65" s="100">
        <f>LOG10(AA65)</f>
        <v>0.96683688407158697</v>
      </c>
      <c r="AC65" s="136">
        <v>2020000000000</v>
      </c>
      <c r="AD65" s="136">
        <f t="shared" si="8"/>
        <v>12.305351369446624</v>
      </c>
      <c r="AE65" s="45">
        <v>4800000</v>
      </c>
      <c r="AF65" s="56">
        <f>LOG10(AE65)</f>
        <v>6.6812412373755876</v>
      </c>
      <c r="AG65" s="46">
        <v>3.3617278360175931</v>
      </c>
      <c r="AH65" s="137">
        <f>LOG10(AG65)</f>
        <v>0.52656255023959586</v>
      </c>
      <c r="AI65" s="53" t="s">
        <v>29</v>
      </c>
      <c r="AJ65" s="53">
        <v>5</v>
      </c>
      <c r="AK65" s="53" t="s">
        <v>30</v>
      </c>
      <c r="AL65" s="138"/>
      <c r="AM65" s="40" t="s">
        <v>452</v>
      </c>
      <c r="AN65" s="40">
        <v>5</v>
      </c>
      <c r="AO65" s="40">
        <v>2</v>
      </c>
      <c r="AP65" s="34">
        <f t="shared" si="17"/>
        <v>2</v>
      </c>
    </row>
    <row r="66" spans="1:42" ht="15" customHeight="1" x14ac:dyDescent="0.25">
      <c r="A66" s="32" t="s">
        <v>453</v>
      </c>
      <c r="B66" s="32" t="s">
        <v>91</v>
      </c>
      <c r="C66" s="32" t="s">
        <v>589</v>
      </c>
      <c r="D66" s="32" t="s">
        <v>584</v>
      </c>
      <c r="E66" s="33" t="s">
        <v>31</v>
      </c>
      <c r="F66" s="33" t="s">
        <v>31</v>
      </c>
      <c r="G66" s="34" t="s">
        <v>61</v>
      </c>
      <c r="H66" s="34">
        <v>7</v>
      </c>
      <c r="I66" s="34" t="s">
        <v>591</v>
      </c>
      <c r="J66" s="35">
        <v>44295</v>
      </c>
      <c r="K66" s="36">
        <v>44301</v>
      </c>
      <c r="L66" s="34" t="s">
        <v>66</v>
      </c>
      <c r="M66" s="36">
        <v>44322</v>
      </c>
      <c r="N66" s="37">
        <f t="shared" ref="N66:N79" si="18">_xlfn.DAYS(M66,K66)</f>
        <v>21</v>
      </c>
      <c r="O66" s="34">
        <v>1</v>
      </c>
      <c r="P66" s="38"/>
      <c r="Q66" s="34" t="s">
        <v>98</v>
      </c>
      <c r="R66" s="34" t="s">
        <v>618</v>
      </c>
      <c r="S66" s="49">
        <f t="shared" ref="S66:S97" si="19">LOG10(T66)</f>
        <v>3.6989700043360187</v>
      </c>
      <c r="T66" s="55">
        <v>5000</v>
      </c>
      <c r="U66" s="55">
        <f t="shared" ref="U66:U97" si="20">LOG10(T66)</f>
        <v>3.6989700043360187</v>
      </c>
      <c r="V66" s="53">
        <v>6</v>
      </c>
      <c r="W66" s="53">
        <v>0</v>
      </c>
      <c r="X66" s="53">
        <v>0</v>
      </c>
      <c r="Y66" s="56">
        <v>2280342</v>
      </c>
      <c r="Z66" s="57">
        <f t="shared" si="7"/>
        <v>6.3579999862874148</v>
      </c>
      <c r="AA66" s="56">
        <v>0</v>
      </c>
      <c r="AB66" s="100">
        <v>0</v>
      </c>
      <c r="AC66" s="56">
        <v>235000000000</v>
      </c>
      <c r="AD66" s="56">
        <f t="shared" si="8"/>
        <v>11.371067862271737</v>
      </c>
      <c r="AE66" s="45">
        <v>270000</v>
      </c>
      <c r="AF66" s="56">
        <f>LOG10(AE66)</f>
        <v>5.4313637641589869</v>
      </c>
      <c r="AG66" s="56">
        <v>0</v>
      </c>
      <c r="AH66" s="56">
        <v>0</v>
      </c>
      <c r="AI66" s="53" t="s">
        <v>29</v>
      </c>
      <c r="AJ66" s="53">
        <v>5</v>
      </c>
      <c r="AK66" s="53" t="s">
        <v>30</v>
      </c>
      <c r="AL66" s="138"/>
      <c r="AM66" s="40" t="s">
        <v>453</v>
      </c>
      <c r="AN66" s="40">
        <v>4</v>
      </c>
      <c r="AO66" s="40">
        <v>1</v>
      </c>
      <c r="AP66" s="34">
        <f t="shared" si="17"/>
        <v>1</v>
      </c>
    </row>
    <row r="67" spans="1:42" ht="15" customHeight="1" x14ac:dyDescent="0.25">
      <c r="A67" s="32" t="s">
        <v>454</v>
      </c>
      <c r="B67" s="32" t="s">
        <v>91</v>
      </c>
      <c r="C67" s="32" t="s">
        <v>589</v>
      </c>
      <c r="D67" s="32" t="s">
        <v>584</v>
      </c>
      <c r="E67" s="33" t="s">
        <v>31</v>
      </c>
      <c r="F67" s="33" t="s">
        <v>31</v>
      </c>
      <c r="G67" s="34" t="s">
        <v>61</v>
      </c>
      <c r="H67" s="34">
        <v>7</v>
      </c>
      <c r="I67" s="34" t="s">
        <v>591</v>
      </c>
      <c r="J67" s="35">
        <v>44295</v>
      </c>
      <c r="K67" s="36">
        <v>44301</v>
      </c>
      <c r="L67" s="34" t="s">
        <v>66</v>
      </c>
      <c r="M67" s="36">
        <v>44322</v>
      </c>
      <c r="N67" s="37">
        <f t="shared" si="18"/>
        <v>21</v>
      </c>
      <c r="O67" s="34">
        <v>1</v>
      </c>
      <c r="P67" s="38"/>
      <c r="Q67" s="34" t="s">
        <v>105</v>
      </c>
      <c r="R67" s="34" t="s">
        <v>618</v>
      </c>
      <c r="S67" s="49">
        <f t="shared" si="19"/>
        <v>3.6989700043360187</v>
      </c>
      <c r="T67" s="55">
        <v>5000</v>
      </c>
      <c r="U67" s="55">
        <f t="shared" si="20"/>
        <v>3.6989700043360187</v>
      </c>
      <c r="V67" s="53">
        <v>19</v>
      </c>
      <c r="W67" s="53">
        <v>0</v>
      </c>
      <c r="X67" s="53">
        <v>0</v>
      </c>
      <c r="Y67" s="56">
        <v>3681373</v>
      </c>
      <c r="Z67" s="57">
        <f t="shared" si="7"/>
        <v>6.5660098227807859</v>
      </c>
      <c r="AA67" s="56">
        <v>9.8007170782823891</v>
      </c>
      <c r="AB67" s="100">
        <f t="shared" ref="AB67:AB73" si="21">LOG10(AA67)</f>
        <v>0.99125785240148256</v>
      </c>
      <c r="AC67" s="136">
        <v>86400000000</v>
      </c>
      <c r="AD67" s="136">
        <f t="shared" si="8"/>
        <v>10.936513742478894</v>
      </c>
      <c r="AE67" s="139">
        <v>42000</v>
      </c>
      <c r="AF67" s="136">
        <f>LOG10(AE67)</f>
        <v>4.6232492903979008</v>
      </c>
      <c r="AG67" s="140">
        <v>3.6127838567197355</v>
      </c>
      <c r="AH67" s="136">
        <f>LOG10(AG67)</f>
        <v>0.55784197965773852</v>
      </c>
      <c r="AI67" s="53" t="s">
        <v>29</v>
      </c>
      <c r="AJ67" s="53">
        <v>5</v>
      </c>
      <c r="AK67" s="53" t="s">
        <v>30</v>
      </c>
      <c r="AL67" s="138"/>
      <c r="AM67" s="40" t="s">
        <v>454</v>
      </c>
      <c r="AN67" s="40">
        <v>4</v>
      </c>
      <c r="AO67" s="40">
        <v>3</v>
      </c>
      <c r="AP67" s="34">
        <f t="shared" si="17"/>
        <v>3</v>
      </c>
    </row>
    <row r="68" spans="1:42" ht="15" customHeight="1" x14ac:dyDescent="0.25">
      <c r="A68" s="32" t="s">
        <v>458</v>
      </c>
      <c r="B68" s="32" t="s">
        <v>72</v>
      </c>
      <c r="C68" s="32" t="s">
        <v>584</v>
      </c>
      <c r="D68" s="32" t="s">
        <v>584</v>
      </c>
      <c r="E68" s="48" t="s">
        <v>26</v>
      </c>
      <c r="F68" s="33" t="s">
        <v>31</v>
      </c>
      <c r="G68" s="34" t="s">
        <v>61</v>
      </c>
      <c r="H68" s="34">
        <v>17</v>
      </c>
      <c r="I68" s="34" t="s">
        <v>591</v>
      </c>
      <c r="J68" s="36">
        <v>44370</v>
      </c>
      <c r="K68" s="36">
        <v>44375</v>
      </c>
      <c r="L68" s="34" t="s">
        <v>66</v>
      </c>
      <c r="M68" s="36">
        <v>44384</v>
      </c>
      <c r="N68" s="37">
        <f t="shared" si="18"/>
        <v>9</v>
      </c>
      <c r="O68" s="34">
        <v>1</v>
      </c>
      <c r="P68" s="38"/>
      <c r="Q68" s="34" t="s">
        <v>613</v>
      </c>
      <c r="R68" s="34" t="s">
        <v>588</v>
      </c>
      <c r="S68" s="34">
        <f t="shared" si="19"/>
        <v>5</v>
      </c>
      <c r="T68" s="55">
        <v>100000</v>
      </c>
      <c r="U68" s="55">
        <f t="shared" si="20"/>
        <v>5</v>
      </c>
      <c r="V68" s="53">
        <v>4</v>
      </c>
      <c r="W68" s="53">
        <v>0</v>
      </c>
      <c r="X68" s="53">
        <v>0</v>
      </c>
      <c r="Y68" s="56">
        <v>18633113.055463903</v>
      </c>
      <c r="Z68" s="57">
        <f t="shared" si="7"/>
        <v>7.2702854190328443</v>
      </c>
      <c r="AA68" s="56">
        <v>7.8489548344412281</v>
      </c>
      <c r="AB68" s="56">
        <f t="shared" si="21"/>
        <v>0.89481183001216014</v>
      </c>
      <c r="AC68" s="56">
        <v>994157.79540740605</v>
      </c>
      <c r="AD68" s="56">
        <f t="shared" si="8"/>
        <v>5.9974553222603024</v>
      </c>
      <c r="AE68" s="53">
        <v>0</v>
      </c>
      <c r="AF68" s="53">
        <v>0</v>
      </c>
      <c r="AG68" s="53">
        <v>0</v>
      </c>
      <c r="AH68" s="53">
        <v>0</v>
      </c>
      <c r="AI68" s="53" t="s">
        <v>73</v>
      </c>
      <c r="AJ68" s="53">
        <v>5</v>
      </c>
      <c r="AK68" s="53" t="s">
        <v>30</v>
      </c>
      <c r="AL68" s="138"/>
      <c r="AM68" s="40" t="s">
        <v>458</v>
      </c>
      <c r="AN68" s="40">
        <v>0</v>
      </c>
      <c r="AO68" s="40">
        <v>1</v>
      </c>
      <c r="AP68" s="34">
        <f>SUM(AM71,AO71)</f>
        <v>3</v>
      </c>
    </row>
    <row r="69" spans="1:42" ht="15" customHeight="1" x14ac:dyDescent="0.25">
      <c r="A69" s="32" t="s">
        <v>460</v>
      </c>
      <c r="B69" s="32" t="s">
        <v>72</v>
      </c>
      <c r="C69" s="32" t="s">
        <v>584</v>
      </c>
      <c r="D69" s="32" t="s">
        <v>584</v>
      </c>
      <c r="E69" s="48" t="s">
        <v>26</v>
      </c>
      <c r="F69" s="33" t="s">
        <v>31</v>
      </c>
      <c r="G69" s="34" t="s">
        <v>61</v>
      </c>
      <c r="H69" s="34">
        <v>16</v>
      </c>
      <c r="I69" s="34" t="s">
        <v>591</v>
      </c>
      <c r="J69" s="36">
        <v>44370</v>
      </c>
      <c r="K69" s="36">
        <v>44375</v>
      </c>
      <c r="L69" s="34" t="s">
        <v>66</v>
      </c>
      <c r="M69" s="36">
        <v>44384</v>
      </c>
      <c r="N69" s="37">
        <f t="shared" si="18"/>
        <v>9</v>
      </c>
      <c r="O69" s="34">
        <v>1</v>
      </c>
      <c r="P69" s="38"/>
      <c r="Q69" s="34" t="s">
        <v>613</v>
      </c>
      <c r="R69" s="34" t="s">
        <v>588</v>
      </c>
      <c r="S69" s="34">
        <f t="shared" si="19"/>
        <v>5</v>
      </c>
      <c r="T69" s="55">
        <v>100000</v>
      </c>
      <c r="U69" s="55">
        <f t="shared" si="20"/>
        <v>5</v>
      </c>
      <c r="V69" s="53">
        <v>15</v>
      </c>
      <c r="W69" s="53">
        <v>0</v>
      </c>
      <c r="X69" s="53">
        <v>0</v>
      </c>
      <c r="Y69" s="56">
        <v>3341446.2957869195</v>
      </c>
      <c r="Z69" s="57">
        <f t="shared" si="7"/>
        <v>6.5239344854714361</v>
      </c>
      <c r="AA69" s="56">
        <v>7.8028713655834858</v>
      </c>
      <c r="AB69" s="56">
        <f t="shared" si="21"/>
        <v>0.8922544474028149</v>
      </c>
      <c r="AC69" s="56">
        <v>37000.373204207004</v>
      </c>
      <c r="AD69" s="56">
        <f t="shared" si="8"/>
        <v>4.5682061045997058</v>
      </c>
      <c r="AE69" s="53">
        <v>0</v>
      </c>
      <c r="AF69" s="53">
        <v>0</v>
      </c>
      <c r="AG69" s="53">
        <v>0</v>
      </c>
      <c r="AH69" s="53">
        <v>0</v>
      </c>
      <c r="AI69" s="53" t="s">
        <v>75</v>
      </c>
      <c r="AJ69" s="53">
        <v>5</v>
      </c>
      <c r="AK69" s="53" t="s">
        <v>30</v>
      </c>
      <c r="AL69" s="138"/>
      <c r="AM69" s="40" t="s">
        <v>460</v>
      </c>
      <c r="AN69" s="40">
        <v>0</v>
      </c>
      <c r="AO69" s="40">
        <v>2</v>
      </c>
      <c r="AP69" s="34">
        <f>SUM(AM72,AO72)</f>
        <v>3</v>
      </c>
    </row>
    <row r="70" spans="1:42" ht="15" customHeight="1" x14ac:dyDescent="0.25">
      <c r="A70" s="32" t="s">
        <v>461</v>
      </c>
      <c r="B70" s="32" t="s">
        <v>112</v>
      </c>
      <c r="C70" s="32" t="s">
        <v>589</v>
      </c>
      <c r="D70" s="32" t="s">
        <v>584</v>
      </c>
      <c r="E70" s="33" t="s">
        <v>31</v>
      </c>
      <c r="F70" s="33" t="s">
        <v>31</v>
      </c>
      <c r="G70" s="34" t="s">
        <v>61</v>
      </c>
      <c r="H70" s="34">
        <v>7</v>
      </c>
      <c r="I70" s="34" t="s">
        <v>591</v>
      </c>
      <c r="J70" s="35">
        <v>44371</v>
      </c>
      <c r="K70" s="36">
        <v>44376</v>
      </c>
      <c r="L70" s="34" t="s">
        <v>66</v>
      </c>
      <c r="M70" s="36">
        <v>44384</v>
      </c>
      <c r="N70" s="37">
        <f t="shared" si="18"/>
        <v>8</v>
      </c>
      <c r="O70" s="34">
        <v>1</v>
      </c>
      <c r="P70" s="38"/>
      <c r="Q70" s="34" t="s">
        <v>587</v>
      </c>
      <c r="R70" s="34" t="s">
        <v>588</v>
      </c>
      <c r="S70" s="34">
        <f t="shared" si="19"/>
        <v>3.6989700043360187</v>
      </c>
      <c r="T70" s="55">
        <v>5000</v>
      </c>
      <c r="U70" s="55">
        <f t="shared" si="20"/>
        <v>3.6989700043360187</v>
      </c>
      <c r="V70" s="53">
        <v>13</v>
      </c>
      <c r="W70" s="41">
        <v>1</v>
      </c>
      <c r="X70" s="361" t="s">
        <v>623</v>
      </c>
      <c r="Y70" s="156"/>
      <c r="Z70" s="427"/>
      <c r="AA70" s="136">
        <v>9.6560982020128296</v>
      </c>
      <c r="AB70" s="136">
        <f t="shared" si="21"/>
        <v>0.98480167386388018</v>
      </c>
      <c r="AC70" s="136">
        <v>914000000000</v>
      </c>
      <c r="AD70" s="136">
        <f t="shared" si="8"/>
        <v>11.960946195733831</v>
      </c>
      <c r="AE70" s="139">
        <v>68000</v>
      </c>
      <c r="AF70" s="136">
        <f>LOG10(AE70)</f>
        <v>4.8325089127062366</v>
      </c>
      <c r="AG70" s="140">
        <v>2.8129133566428557</v>
      </c>
      <c r="AH70" s="136">
        <f t="shared" ref="AH70:AH77" si="22">LOG10(AG70)</f>
        <v>0.44915635523259678</v>
      </c>
      <c r="AI70" s="53" t="s">
        <v>29</v>
      </c>
      <c r="AJ70" s="53">
        <v>5</v>
      </c>
      <c r="AK70" s="53" t="s">
        <v>30</v>
      </c>
      <c r="AL70" s="138"/>
      <c r="AM70" s="40" t="s">
        <v>461</v>
      </c>
      <c r="AN70" s="40">
        <v>3</v>
      </c>
      <c r="AO70" s="40">
        <v>2</v>
      </c>
      <c r="AP70" s="34">
        <f>SUM(AM73,AO73)</f>
        <v>4</v>
      </c>
    </row>
    <row r="71" spans="1:42" ht="15" customHeight="1" x14ac:dyDescent="0.25">
      <c r="A71" s="32" t="s">
        <v>462</v>
      </c>
      <c r="B71" s="32" t="s">
        <v>112</v>
      </c>
      <c r="C71" s="32" t="s">
        <v>584</v>
      </c>
      <c r="D71" s="32" t="s">
        <v>584</v>
      </c>
      <c r="E71" s="48" t="s">
        <v>26</v>
      </c>
      <c r="F71" s="33" t="s">
        <v>31</v>
      </c>
      <c r="G71" s="34" t="s">
        <v>61</v>
      </c>
      <c r="H71" s="34">
        <v>7</v>
      </c>
      <c r="I71" s="34" t="s">
        <v>591</v>
      </c>
      <c r="J71" s="35">
        <v>44371</v>
      </c>
      <c r="K71" s="36">
        <v>44376</v>
      </c>
      <c r="L71" s="34" t="s">
        <v>66</v>
      </c>
      <c r="M71" s="36">
        <v>44384</v>
      </c>
      <c r="N71" s="37">
        <f t="shared" si="18"/>
        <v>8</v>
      </c>
      <c r="O71" s="34">
        <v>1</v>
      </c>
      <c r="P71" s="38"/>
      <c r="Q71" s="34" t="s">
        <v>587</v>
      </c>
      <c r="R71" s="34" t="s">
        <v>588</v>
      </c>
      <c r="S71" s="34">
        <f t="shared" si="19"/>
        <v>3.6989700043360187</v>
      </c>
      <c r="T71" s="55">
        <v>5000</v>
      </c>
      <c r="U71" s="55">
        <f t="shared" si="20"/>
        <v>3.6989700043360187</v>
      </c>
      <c r="V71" s="53">
        <v>33</v>
      </c>
      <c r="W71" s="53">
        <v>0</v>
      </c>
      <c r="X71" s="53">
        <v>0</v>
      </c>
      <c r="Y71" s="156"/>
      <c r="Z71" s="427"/>
      <c r="AA71" s="136">
        <v>11.746205140721599</v>
      </c>
      <c r="AB71" s="136">
        <f t="shared" si="21"/>
        <v>1.069897581276684</v>
      </c>
      <c r="AC71" s="136">
        <v>3430000</v>
      </c>
      <c r="AD71" s="136">
        <f t="shared" si="8"/>
        <v>6.5352941200427708</v>
      </c>
      <c r="AE71" s="136">
        <v>0</v>
      </c>
      <c r="AF71" s="136">
        <v>0</v>
      </c>
      <c r="AG71" s="140">
        <v>4.2787536009528289</v>
      </c>
      <c r="AH71" s="136">
        <f t="shared" si="22"/>
        <v>0.63131727764363377</v>
      </c>
      <c r="AI71" s="53" t="s">
        <v>29</v>
      </c>
      <c r="AJ71" s="53">
        <v>5</v>
      </c>
      <c r="AK71" s="53" t="s">
        <v>30</v>
      </c>
      <c r="AL71" s="138"/>
      <c r="AM71" s="40" t="s">
        <v>462</v>
      </c>
      <c r="AN71" s="40">
        <v>0</v>
      </c>
      <c r="AO71" s="40">
        <v>3</v>
      </c>
      <c r="AP71" s="34">
        <f>SUM(AM74,AO74)</f>
        <v>3</v>
      </c>
    </row>
    <row r="72" spans="1:42" ht="15" customHeight="1" x14ac:dyDescent="0.25">
      <c r="A72" s="220" t="s">
        <v>463</v>
      </c>
      <c r="B72" s="220" t="s">
        <v>112</v>
      </c>
      <c r="C72" s="220" t="s">
        <v>584</v>
      </c>
      <c r="D72" s="220" t="s">
        <v>584</v>
      </c>
      <c r="E72" s="221" t="s">
        <v>26</v>
      </c>
      <c r="F72" s="222" t="s">
        <v>31</v>
      </c>
      <c r="G72" s="215" t="s">
        <v>61</v>
      </c>
      <c r="H72" s="215">
        <v>7</v>
      </c>
      <c r="I72" s="215" t="s">
        <v>591</v>
      </c>
      <c r="J72" s="344">
        <v>44371</v>
      </c>
      <c r="K72" s="223">
        <v>44376</v>
      </c>
      <c r="L72" s="215" t="s">
        <v>66</v>
      </c>
      <c r="M72" s="223">
        <v>44384</v>
      </c>
      <c r="N72" s="224">
        <f t="shared" si="18"/>
        <v>8</v>
      </c>
      <c r="O72" s="215">
        <v>1</v>
      </c>
      <c r="P72" s="215"/>
      <c r="Q72" s="215" t="s">
        <v>587</v>
      </c>
      <c r="R72" s="215" t="s">
        <v>588</v>
      </c>
      <c r="S72" s="215">
        <f t="shared" si="19"/>
        <v>3.6989700043360187</v>
      </c>
      <c r="T72" s="261">
        <v>5000</v>
      </c>
      <c r="U72" s="261">
        <f t="shared" si="20"/>
        <v>3.6989700043360187</v>
      </c>
      <c r="V72" s="357">
        <v>27</v>
      </c>
      <c r="W72" s="357">
        <v>0</v>
      </c>
      <c r="X72" s="357">
        <v>0</v>
      </c>
      <c r="Y72" s="366"/>
      <c r="Z72" s="428"/>
      <c r="AA72" s="372">
        <v>12.3404441148401</v>
      </c>
      <c r="AB72" s="372">
        <f t="shared" si="21"/>
        <v>1.0913307896124311</v>
      </c>
      <c r="AC72" s="372">
        <v>9240000</v>
      </c>
      <c r="AD72" s="372">
        <f t="shared" si="8"/>
        <v>6.9656719712201065</v>
      </c>
      <c r="AE72" s="381">
        <v>0</v>
      </c>
      <c r="AF72" s="372">
        <v>0</v>
      </c>
      <c r="AG72" s="390">
        <v>3.0413926851582249</v>
      </c>
      <c r="AH72" s="372">
        <f t="shared" si="22"/>
        <v>0.48307249708832406</v>
      </c>
      <c r="AI72" s="360" t="s">
        <v>29</v>
      </c>
      <c r="AJ72" s="360">
        <v>5</v>
      </c>
      <c r="AK72" s="360" t="s">
        <v>30</v>
      </c>
      <c r="AL72" s="398"/>
      <c r="AM72" s="273" t="s">
        <v>463</v>
      </c>
      <c r="AN72" s="273">
        <v>0</v>
      </c>
      <c r="AO72" s="273">
        <v>3</v>
      </c>
      <c r="AP72" s="215">
        <f>SUM(AM75,AO75)</f>
        <v>3</v>
      </c>
    </row>
    <row r="73" spans="1:42" ht="15" customHeight="1" x14ac:dyDescent="0.25">
      <c r="A73" s="15" t="s">
        <v>468</v>
      </c>
      <c r="B73" s="15" t="s">
        <v>176</v>
      </c>
      <c r="C73" s="15" t="s">
        <v>589</v>
      </c>
      <c r="D73" s="15" t="s">
        <v>584</v>
      </c>
      <c r="E73" s="17" t="s">
        <v>31</v>
      </c>
      <c r="F73" s="17" t="s">
        <v>31</v>
      </c>
      <c r="G73" s="18" t="s">
        <v>61</v>
      </c>
      <c r="H73" s="18" t="s">
        <v>596</v>
      </c>
      <c r="I73" s="18" t="s">
        <v>597</v>
      </c>
      <c r="J73" s="19">
        <v>44534</v>
      </c>
      <c r="K73" s="20">
        <v>44540</v>
      </c>
      <c r="L73" s="18" t="s">
        <v>66</v>
      </c>
      <c r="M73" s="20">
        <v>44580</v>
      </c>
      <c r="N73" s="21">
        <f t="shared" si="18"/>
        <v>40</v>
      </c>
      <c r="O73" s="18">
        <v>1</v>
      </c>
      <c r="P73" s="118"/>
      <c r="Q73" s="18" t="s">
        <v>613</v>
      </c>
      <c r="R73" s="18" t="s">
        <v>588</v>
      </c>
      <c r="S73" s="18">
        <f t="shared" si="19"/>
        <v>3.6989700043360187</v>
      </c>
      <c r="T73" s="120">
        <v>5000</v>
      </c>
      <c r="U73" s="120">
        <f t="shared" si="20"/>
        <v>3.6989700043360187</v>
      </c>
      <c r="V73" s="25">
        <v>12</v>
      </c>
      <c r="W73" s="148">
        <v>2</v>
      </c>
      <c r="X73" s="363" t="s">
        <v>629</v>
      </c>
      <c r="Y73" s="122">
        <v>38708.291239221558</v>
      </c>
      <c r="Z73" s="425">
        <f t="shared" ref="Z73:Z79" si="23">LOG10(Y73)</f>
        <v>4.587804000000002</v>
      </c>
      <c r="AA73" s="175">
        <v>11.336942365707197</v>
      </c>
      <c r="AB73" s="122">
        <f t="shared" si="21"/>
        <v>1.0544959387934241</v>
      </c>
      <c r="AC73" s="120">
        <v>3670000000000</v>
      </c>
      <c r="AD73" s="120">
        <f t="shared" si="8"/>
        <v>12.564666064252089</v>
      </c>
      <c r="AE73" s="119">
        <v>6.5051499783199063</v>
      </c>
      <c r="AF73" s="120">
        <f>LOG10(AE73)</f>
        <v>0.81325731381165323</v>
      </c>
      <c r="AG73" s="175">
        <v>2.6627578316815739</v>
      </c>
      <c r="AH73" s="119">
        <f t="shared" si="22"/>
        <v>0.42533167070226652</v>
      </c>
      <c r="AI73" s="25" t="s">
        <v>29</v>
      </c>
      <c r="AJ73" s="25">
        <v>5</v>
      </c>
      <c r="AK73" s="25" t="s">
        <v>30</v>
      </c>
      <c r="AL73" s="155"/>
      <c r="AM73" s="24" t="s">
        <v>468</v>
      </c>
      <c r="AN73" s="24">
        <v>5</v>
      </c>
      <c r="AO73" s="24">
        <v>4</v>
      </c>
      <c r="AP73" s="18">
        <f>SUM(AM77,AO77)</f>
        <v>2</v>
      </c>
    </row>
    <row r="74" spans="1:42" ht="15" customHeight="1" x14ac:dyDescent="0.25">
      <c r="A74" s="32" t="s">
        <v>310</v>
      </c>
      <c r="B74" s="32" t="s">
        <v>311</v>
      </c>
      <c r="C74" s="32" t="s">
        <v>589</v>
      </c>
      <c r="D74" s="32" t="s">
        <v>589</v>
      </c>
      <c r="E74" s="33" t="s">
        <v>31</v>
      </c>
      <c r="F74" s="33" t="s">
        <v>31</v>
      </c>
      <c r="G74" s="34" t="s">
        <v>61</v>
      </c>
      <c r="H74" s="34">
        <v>12</v>
      </c>
      <c r="I74" s="34" t="s">
        <v>586</v>
      </c>
      <c r="J74" s="35">
        <v>44694</v>
      </c>
      <c r="K74" s="36">
        <v>44699</v>
      </c>
      <c r="L74" s="34" t="s">
        <v>312</v>
      </c>
      <c r="M74" s="36">
        <v>44876</v>
      </c>
      <c r="N74" s="37">
        <f t="shared" si="18"/>
        <v>177</v>
      </c>
      <c r="O74" s="34">
        <v>1</v>
      </c>
      <c r="P74" s="97" t="s">
        <v>633</v>
      </c>
      <c r="Q74" s="34" t="s">
        <v>588</v>
      </c>
      <c r="R74" s="34" t="s">
        <v>588</v>
      </c>
      <c r="S74" s="49">
        <f t="shared" si="19"/>
        <v>4</v>
      </c>
      <c r="T74" s="34">
        <v>10000</v>
      </c>
      <c r="U74" s="34">
        <f t="shared" si="20"/>
        <v>4</v>
      </c>
      <c r="V74" s="34">
        <v>22</v>
      </c>
      <c r="W74" s="49">
        <v>2</v>
      </c>
      <c r="X74" s="49">
        <v>2</v>
      </c>
      <c r="Y74" s="34">
        <v>6.2111839763470531</v>
      </c>
      <c r="Z74" s="415">
        <f t="shared" si="23"/>
        <v>0.79317439331397599</v>
      </c>
      <c r="AA74" s="125"/>
      <c r="AB74" s="125"/>
      <c r="AC74" s="34">
        <v>8.7474109137080163</v>
      </c>
      <c r="AD74" s="34">
        <f t="shared" si="8"/>
        <v>0.94187952819043597</v>
      </c>
      <c r="AE74" s="34">
        <v>6.3979400086720375</v>
      </c>
      <c r="AF74" s="34">
        <f>LOG10(AE74)</f>
        <v>0.80604016353413932</v>
      </c>
      <c r="AG74" s="49">
        <v>4.4771212547196626</v>
      </c>
      <c r="AH74" s="34">
        <f t="shared" si="22"/>
        <v>0.6509988566221192</v>
      </c>
      <c r="AI74" s="49" t="s">
        <v>29</v>
      </c>
      <c r="AJ74" s="34">
        <v>5</v>
      </c>
      <c r="AK74" s="125"/>
      <c r="AL74" s="52" t="s">
        <v>634</v>
      </c>
      <c r="AM74" s="34" t="s">
        <v>310</v>
      </c>
      <c r="AN74" s="34">
        <v>5</v>
      </c>
      <c r="AO74" s="34">
        <v>3</v>
      </c>
      <c r="AP74" s="34">
        <f>SUM(AM78,AO78)</f>
        <v>2</v>
      </c>
    </row>
    <row r="75" spans="1:42" ht="15" customHeight="1" x14ac:dyDescent="0.25">
      <c r="A75" s="32" t="s">
        <v>313</v>
      </c>
      <c r="B75" s="32" t="s">
        <v>311</v>
      </c>
      <c r="C75" s="32" t="s">
        <v>589</v>
      </c>
      <c r="D75" s="32" t="s">
        <v>589</v>
      </c>
      <c r="E75" s="33" t="s">
        <v>31</v>
      </c>
      <c r="F75" s="33" t="s">
        <v>31</v>
      </c>
      <c r="G75" s="34" t="s">
        <v>61</v>
      </c>
      <c r="H75" s="34">
        <v>12</v>
      </c>
      <c r="I75" s="34" t="s">
        <v>586</v>
      </c>
      <c r="J75" s="35">
        <v>44694</v>
      </c>
      <c r="K75" s="36">
        <v>44699</v>
      </c>
      <c r="L75" s="34" t="s">
        <v>312</v>
      </c>
      <c r="M75" s="36">
        <v>44876</v>
      </c>
      <c r="N75" s="37">
        <f t="shared" si="18"/>
        <v>177</v>
      </c>
      <c r="O75" s="34">
        <v>1</v>
      </c>
      <c r="P75" s="97"/>
      <c r="Q75" s="34" t="s">
        <v>588</v>
      </c>
      <c r="R75" s="34" t="s">
        <v>588</v>
      </c>
      <c r="S75" s="49">
        <f t="shared" si="19"/>
        <v>4</v>
      </c>
      <c r="T75" s="34">
        <v>10000</v>
      </c>
      <c r="U75" s="34">
        <f t="shared" si="20"/>
        <v>4</v>
      </c>
      <c r="V75" s="34">
        <v>26</v>
      </c>
      <c r="W75" s="49">
        <v>1</v>
      </c>
      <c r="X75" s="49">
        <v>1</v>
      </c>
      <c r="Y75" s="34">
        <v>5.8885392404568533</v>
      </c>
      <c r="Z75" s="415">
        <f t="shared" si="23"/>
        <v>0.77000757348155136</v>
      </c>
      <c r="AA75" s="125"/>
      <c r="AB75" s="125"/>
      <c r="AC75" s="34">
        <v>8.5665137415997421</v>
      </c>
      <c r="AD75" s="34">
        <f t="shared" si="8"/>
        <v>0.93280411587558087</v>
      </c>
      <c r="AE75" s="34">
        <v>6.3756636139608851</v>
      </c>
      <c r="AF75" s="34">
        <f>LOG10(AE75)</f>
        <v>0.80452539520511235</v>
      </c>
      <c r="AG75" s="49">
        <v>4.3979400086720375</v>
      </c>
      <c r="AH75" s="34">
        <f t="shared" si="22"/>
        <v>0.6432493009501028</v>
      </c>
      <c r="AI75" s="34" t="s">
        <v>29</v>
      </c>
      <c r="AJ75" s="34">
        <v>5</v>
      </c>
      <c r="AK75" s="125"/>
      <c r="AL75" s="52" t="s">
        <v>635</v>
      </c>
      <c r="AM75" s="34" t="s">
        <v>313</v>
      </c>
      <c r="AN75" s="34">
        <v>5</v>
      </c>
      <c r="AO75" s="34">
        <v>3</v>
      </c>
      <c r="AP75" s="34">
        <f>SUM(AM79,AO79)</f>
        <v>2</v>
      </c>
    </row>
    <row r="76" spans="1:42" ht="15" customHeight="1" x14ac:dyDescent="0.25">
      <c r="A76" s="32" t="s">
        <v>316</v>
      </c>
      <c r="B76" s="32" t="s">
        <v>311</v>
      </c>
      <c r="C76" s="32" t="s">
        <v>589</v>
      </c>
      <c r="D76" s="32" t="s">
        <v>589</v>
      </c>
      <c r="E76" s="33" t="s">
        <v>31</v>
      </c>
      <c r="F76" s="33" t="s">
        <v>31</v>
      </c>
      <c r="G76" s="34" t="s">
        <v>61</v>
      </c>
      <c r="H76" s="34">
        <v>12</v>
      </c>
      <c r="I76" s="34" t="s">
        <v>591</v>
      </c>
      <c r="J76" s="35">
        <v>44694</v>
      </c>
      <c r="K76" s="36">
        <v>44702</v>
      </c>
      <c r="L76" s="34" t="s">
        <v>312</v>
      </c>
      <c r="M76" s="36">
        <v>44876</v>
      </c>
      <c r="N76" s="37">
        <f t="shared" si="18"/>
        <v>174</v>
      </c>
      <c r="O76" s="34">
        <v>1</v>
      </c>
      <c r="P76" s="97"/>
      <c r="Q76" s="34" t="s">
        <v>588</v>
      </c>
      <c r="R76" s="34" t="s">
        <v>588</v>
      </c>
      <c r="S76" s="49">
        <f t="shared" si="19"/>
        <v>4</v>
      </c>
      <c r="T76" s="34">
        <v>10000</v>
      </c>
      <c r="U76" s="34">
        <f t="shared" si="20"/>
        <v>4</v>
      </c>
      <c r="V76" s="34">
        <v>28</v>
      </c>
      <c r="W76" s="49">
        <v>1</v>
      </c>
      <c r="X76" s="49">
        <v>1</v>
      </c>
      <c r="Y76" s="34">
        <v>6.3659223603880939</v>
      </c>
      <c r="Z76" s="415">
        <f t="shared" si="23"/>
        <v>0.8038613376056496</v>
      </c>
      <c r="AA76" s="125"/>
      <c r="AB76" s="125"/>
      <c r="AC76" s="34">
        <v>8.7020759034628306</v>
      </c>
      <c r="AD76" s="34">
        <f t="shared" si="8"/>
        <v>0.93962286708716225</v>
      </c>
      <c r="AE76" s="34">
        <v>6.1832698436828046</v>
      </c>
      <c r="AF76" s="34">
        <f>LOG10(AE76)</f>
        <v>0.79121819993009079</v>
      </c>
      <c r="AG76" s="49">
        <v>5.0881360887005513</v>
      </c>
      <c r="AH76" s="34">
        <f t="shared" si="22"/>
        <v>0.70655871855649444</v>
      </c>
      <c r="AI76" s="34" t="s">
        <v>29</v>
      </c>
      <c r="AJ76" s="34">
        <v>5</v>
      </c>
      <c r="AK76" s="125"/>
      <c r="AL76" s="52" t="s">
        <v>635</v>
      </c>
      <c r="AM76" s="34" t="s">
        <v>316</v>
      </c>
      <c r="AN76" s="34">
        <v>4</v>
      </c>
      <c r="AO76" s="34">
        <v>2</v>
      </c>
      <c r="AP76" s="34">
        <f>SUM(AM80,AO80)</f>
        <v>3</v>
      </c>
    </row>
    <row r="77" spans="1:42" ht="15" customHeight="1" x14ac:dyDescent="0.25">
      <c r="A77" s="32" t="s">
        <v>317</v>
      </c>
      <c r="B77" s="32" t="s">
        <v>311</v>
      </c>
      <c r="C77" s="32" t="s">
        <v>589</v>
      </c>
      <c r="D77" s="32" t="s">
        <v>589</v>
      </c>
      <c r="E77" s="33" t="s">
        <v>31</v>
      </c>
      <c r="F77" s="33" t="s">
        <v>31</v>
      </c>
      <c r="G77" s="34" t="s">
        <v>61</v>
      </c>
      <c r="H77" s="34">
        <v>12</v>
      </c>
      <c r="I77" s="34" t="s">
        <v>591</v>
      </c>
      <c r="J77" s="35">
        <v>44694</v>
      </c>
      <c r="K77" s="36">
        <v>44703</v>
      </c>
      <c r="L77" s="34" t="s">
        <v>312</v>
      </c>
      <c r="M77" s="36">
        <v>44876</v>
      </c>
      <c r="N77" s="37">
        <f t="shared" si="18"/>
        <v>173</v>
      </c>
      <c r="O77" s="34">
        <v>1</v>
      </c>
      <c r="P77" s="97"/>
      <c r="Q77" s="34" t="s">
        <v>588</v>
      </c>
      <c r="R77" s="34" t="s">
        <v>588</v>
      </c>
      <c r="S77" s="49">
        <f t="shared" si="19"/>
        <v>4</v>
      </c>
      <c r="T77" s="34">
        <v>10000</v>
      </c>
      <c r="U77" s="34">
        <f t="shared" si="20"/>
        <v>4</v>
      </c>
      <c r="V77" s="34">
        <v>4</v>
      </c>
      <c r="W77" s="49">
        <v>1</v>
      </c>
      <c r="X77" s="49">
        <v>1</v>
      </c>
      <c r="Y77" s="34">
        <v>6.4817768574262686</v>
      </c>
      <c r="Z77" s="415">
        <f t="shared" si="23"/>
        <v>0.81169407586981945</v>
      </c>
      <c r="AA77" s="125"/>
      <c r="AB77" s="125"/>
      <c r="AC77" s="34">
        <v>8.7557516108062039</v>
      </c>
      <c r="AD77" s="34">
        <f t="shared" si="8"/>
        <v>0.94229343270558596</v>
      </c>
      <c r="AE77" s="34">
        <v>6.3979400086720375</v>
      </c>
      <c r="AF77" s="34">
        <f>LOG10(AE77)</f>
        <v>0.80604016353413932</v>
      </c>
      <c r="AG77" s="49">
        <v>4.4393326938302629</v>
      </c>
      <c r="AH77" s="34">
        <f t="shared" si="22"/>
        <v>0.6473176932750655</v>
      </c>
      <c r="AI77" s="34" t="s">
        <v>29</v>
      </c>
      <c r="AJ77" s="34">
        <v>5</v>
      </c>
      <c r="AK77" s="125"/>
      <c r="AL77" s="52" t="s">
        <v>635</v>
      </c>
      <c r="AM77" s="34" t="s">
        <v>317</v>
      </c>
      <c r="AN77" s="34">
        <v>5</v>
      </c>
      <c r="AO77" s="34">
        <v>2</v>
      </c>
      <c r="AP77" s="34">
        <f>SUM(AM81,AO81)</f>
        <v>3</v>
      </c>
    </row>
    <row r="78" spans="1:42" ht="15" customHeight="1" x14ac:dyDescent="0.25">
      <c r="A78" s="58" t="s">
        <v>481</v>
      </c>
      <c r="B78" s="58" t="s">
        <v>320</v>
      </c>
      <c r="C78" s="58" t="s">
        <v>589</v>
      </c>
      <c r="D78" s="58" t="s">
        <v>589</v>
      </c>
      <c r="E78" s="60" t="s">
        <v>31</v>
      </c>
      <c r="F78" s="60" t="s">
        <v>31</v>
      </c>
      <c r="G78" s="61" t="s">
        <v>61</v>
      </c>
      <c r="H78" s="61">
        <v>17</v>
      </c>
      <c r="I78" s="61" t="s">
        <v>591</v>
      </c>
      <c r="J78" s="62">
        <v>44727</v>
      </c>
      <c r="K78" s="63">
        <v>44732</v>
      </c>
      <c r="L78" s="61" t="s">
        <v>66</v>
      </c>
      <c r="M78" s="63">
        <v>44876</v>
      </c>
      <c r="N78" s="64">
        <f t="shared" si="18"/>
        <v>144</v>
      </c>
      <c r="O78" s="61">
        <v>1</v>
      </c>
      <c r="P78" s="110" t="s">
        <v>637</v>
      </c>
      <c r="Q78" s="61" t="s">
        <v>588</v>
      </c>
      <c r="R78" s="61" t="s">
        <v>588</v>
      </c>
      <c r="S78" s="61">
        <f t="shared" si="19"/>
        <v>5.5774917998372251</v>
      </c>
      <c r="T78" s="61">
        <v>378000</v>
      </c>
      <c r="U78" s="61">
        <f t="shared" si="20"/>
        <v>5.5774917998372251</v>
      </c>
      <c r="V78" s="61">
        <v>23</v>
      </c>
      <c r="W78" s="66">
        <v>2</v>
      </c>
      <c r="X78" s="66">
        <v>2</v>
      </c>
      <c r="Y78" s="61">
        <v>4.4006050243061221</v>
      </c>
      <c r="Z78" s="429">
        <f t="shared" si="23"/>
        <v>0.64351239027114981</v>
      </c>
      <c r="AA78" s="203"/>
      <c r="AB78" s="203"/>
      <c r="AC78" s="61">
        <v>9.2102111033954461</v>
      </c>
      <c r="AD78" s="61">
        <f t="shared" si="8"/>
        <v>0.96426958459305456</v>
      </c>
      <c r="AE78" s="168"/>
      <c r="AF78" s="168"/>
      <c r="AG78" s="168"/>
      <c r="AH78" s="168"/>
      <c r="AI78" s="61" t="s">
        <v>29</v>
      </c>
      <c r="AJ78" s="61">
        <v>5</v>
      </c>
      <c r="AK78" s="203"/>
      <c r="AL78" s="204"/>
      <c r="AM78" s="61" t="s">
        <v>481</v>
      </c>
      <c r="AN78" s="61">
        <v>4</v>
      </c>
      <c r="AO78" s="61">
        <v>2</v>
      </c>
      <c r="AP78" s="61">
        <f t="shared" ref="AP78:AP89" si="24">SUM(AM83,AO83)</f>
        <v>4</v>
      </c>
    </row>
    <row r="79" spans="1:42" ht="15" customHeight="1" x14ac:dyDescent="0.25">
      <c r="A79" s="78" t="s">
        <v>319</v>
      </c>
      <c r="B79" s="78" t="s">
        <v>320</v>
      </c>
      <c r="C79" s="78" t="s">
        <v>589</v>
      </c>
      <c r="D79" s="78" t="s">
        <v>589</v>
      </c>
      <c r="E79" s="79" t="s">
        <v>31</v>
      </c>
      <c r="F79" s="79" t="s">
        <v>31</v>
      </c>
      <c r="G79" s="80" t="s">
        <v>61</v>
      </c>
      <c r="H79" s="80">
        <v>17</v>
      </c>
      <c r="I79" s="80" t="s">
        <v>591</v>
      </c>
      <c r="J79" s="81">
        <v>44727</v>
      </c>
      <c r="K79" s="82">
        <v>44732</v>
      </c>
      <c r="L79" s="80" t="s">
        <v>66</v>
      </c>
      <c r="M79" s="82">
        <v>44876</v>
      </c>
      <c r="N79" s="84">
        <f t="shared" si="18"/>
        <v>144</v>
      </c>
      <c r="O79" s="80">
        <v>1</v>
      </c>
      <c r="P79" s="85"/>
      <c r="Q79" s="80" t="s">
        <v>588</v>
      </c>
      <c r="R79" s="80" t="s">
        <v>588</v>
      </c>
      <c r="S79" s="80">
        <f t="shared" si="19"/>
        <v>5.5774917998372251</v>
      </c>
      <c r="T79" s="80">
        <v>378000</v>
      </c>
      <c r="U79" s="80">
        <f t="shared" si="20"/>
        <v>5.5774917998372251</v>
      </c>
      <c r="V79" s="80">
        <v>8</v>
      </c>
      <c r="W79" s="89">
        <v>1</v>
      </c>
      <c r="X79" s="89" t="s">
        <v>638</v>
      </c>
      <c r="Y79" s="80">
        <v>5.2282422160723243</v>
      </c>
      <c r="Z79" s="418">
        <f t="shared" si="23"/>
        <v>0.71835569954104062</v>
      </c>
      <c r="AA79" s="163"/>
      <c r="AB79" s="163"/>
      <c r="AC79" s="80">
        <v>9.29506340407608</v>
      </c>
      <c r="AD79" s="80">
        <f t="shared" si="8"/>
        <v>0.96825235655508857</v>
      </c>
      <c r="AE79" s="173"/>
      <c r="AF79" s="162"/>
      <c r="AG79" s="162"/>
      <c r="AH79" s="162"/>
      <c r="AI79" s="80" t="s">
        <v>29</v>
      </c>
      <c r="AJ79" s="80">
        <v>5</v>
      </c>
      <c r="AK79" s="163"/>
      <c r="AL79" s="95"/>
      <c r="AM79" s="80" t="s">
        <v>319</v>
      </c>
      <c r="AN79" s="80">
        <v>4</v>
      </c>
      <c r="AO79" s="80">
        <v>2</v>
      </c>
      <c r="AP79" s="80">
        <f t="shared" si="24"/>
        <v>3</v>
      </c>
    </row>
    <row r="80" spans="1:42" ht="15" customHeight="1" x14ac:dyDescent="0.25">
      <c r="A80" s="32" t="s">
        <v>482</v>
      </c>
      <c r="B80" s="32" t="s">
        <v>369</v>
      </c>
      <c r="C80" s="32" t="s">
        <v>589</v>
      </c>
      <c r="D80" s="32" t="s">
        <v>589</v>
      </c>
      <c r="E80" s="48" t="s">
        <v>26</v>
      </c>
      <c r="F80" s="33" t="s">
        <v>31</v>
      </c>
      <c r="G80" s="34" t="s">
        <v>600</v>
      </c>
      <c r="H80" s="34">
        <v>17</v>
      </c>
      <c r="I80" s="34" t="s">
        <v>591</v>
      </c>
      <c r="J80" s="208">
        <v>44867</v>
      </c>
      <c r="K80" s="209"/>
      <c r="L80" s="34" t="s">
        <v>66</v>
      </c>
      <c r="M80" s="36">
        <v>44889</v>
      </c>
      <c r="N80" s="210"/>
      <c r="O80" s="34">
        <v>1</v>
      </c>
      <c r="P80" s="38" t="s">
        <v>641</v>
      </c>
      <c r="Q80" s="34" t="s">
        <v>588</v>
      </c>
      <c r="R80" s="34" t="s">
        <v>588</v>
      </c>
      <c r="S80" s="34">
        <f t="shared" si="19"/>
        <v>3.7075701760979363</v>
      </c>
      <c r="T80" s="211">
        <v>5100</v>
      </c>
      <c r="U80" s="211">
        <f t="shared" si="20"/>
        <v>3.7075701760979363</v>
      </c>
      <c r="V80" s="125"/>
      <c r="W80" s="125"/>
      <c r="X80" s="125"/>
      <c r="Y80" s="125"/>
      <c r="Z80" s="412"/>
      <c r="AA80" s="125"/>
      <c r="AB80" s="125"/>
      <c r="AC80" s="125"/>
      <c r="AD80" s="125"/>
      <c r="AE80" s="101"/>
      <c r="AF80" s="101"/>
      <c r="AG80" s="101"/>
      <c r="AH80" s="101"/>
      <c r="AI80" s="49" t="s">
        <v>29</v>
      </c>
      <c r="AJ80" s="34">
        <v>5</v>
      </c>
      <c r="AK80" s="125"/>
      <c r="AL80" s="52"/>
      <c r="AM80" s="34" t="s">
        <v>482</v>
      </c>
      <c r="AN80" s="34">
        <v>0</v>
      </c>
      <c r="AO80" s="34">
        <v>3</v>
      </c>
      <c r="AP80" s="34">
        <f t="shared" si="24"/>
        <v>3</v>
      </c>
    </row>
    <row r="81" spans="1:42" ht="15" customHeight="1" x14ac:dyDescent="0.25">
      <c r="A81" s="32" t="s">
        <v>483</v>
      </c>
      <c r="B81" s="32" t="s">
        <v>369</v>
      </c>
      <c r="C81" s="32" t="s">
        <v>589</v>
      </c>
      <c r="D81" s="32" t="s">
        <v>589</v>
      </c>
      <c r="E81" s="33" t="s">
        <v>31</v>
      </c>
      <c r="F81" s="33" t="s">
        <v>31</v>
      </c>
      <c r="G81" s="34" t="s">
        <v>600</v>
      </c>
      <c r="H81" s="34">
        <v>17</v>
      </c>
      <c r="I81" s="34" t="s">
        <v>591</v>
      </c>
      <c r="J81" s="208">
        <v>44867</v>
      </c>
      <c r="K81" s="209"/>
      <c r="L81" s="34" t="s">
        <v>66</v>
      </c>
      <c r="M81" s="36">
        <v>44889</v>
      </c>
      <c r="N81" s="210"/>
      <c r="O81" s="34">
        <v>1</v>
      </c>
      <c r="P81" s="38"/>
      <c r="Q81" s="34" t="s">
        <v>588</v>
      </c>
      <c r="R81" s="34" t="s">
        <v>588</v>
      </c>
      <c r="S81" s="34">
        <f t="shared" si="19"/>
        <v>3.7075701760979363</v>
      </c>
      <c r="T81" s="211">
        <v>5100</v>
      </c>
      <c r="U81" s="211">
        <f t="shared" si="20"/>
        <v>3.7075701760979363</v>
      </c>
      <c r="V81" s="125"/>
      <c r="W81" s="125"/>
      <c r="X81" s="125"/>
      <c r="Y81" s="125"/>
      <c r="Z81" s="412"/>
      <c r="AA81" s="125"/>
      <c r="AB81" s="125"/>
      <c r="AC81" s="125"/>
      <c r="AD81" s="125"/>
      <c r="AE81" s="101"/>
      <c r="AF81" s="101"/>
      <c r="AG81" s="101"/>
      <c r="AH81" s="101"/>
      <c r="AI81" s="34" t="s">
        <v>29</v>
      </c>
      <c r="AJ81" s="34">
        <v>5</v>
      </c>
      <c r="AK81" s="125"/>
      <c r="AL81" s="52"/>
      <c r="AM81" s="34" t="s">
        <v>483</v>
      </c>
      <c r="AN81" s="34">
        <v>4</v>
      </c>
      <c r="AO81" s="34">
        <v>3</v>
      </c>
      <c r="AP81" s="34">
        <f t="shared" si="24"/>
        <v>3</v>
      </c>
    </row>
    <row r="82" spans="1:42" ht="15" customHeight="1" x14ac:dyDescent="0.25">
      <c r="A82" s="32" t="s">
        <v>484</v>
      </c>
      <c r="B82" s="32" t="s">
        <v>369</v>
      </c>
      <c r="C82" s="32" t="s">
        <v>589</v>
      </c>
      <c r="D82" s="32" t="s">
        <v>589</v>
      </c>
      <c r="E82" s="48" t="s">
        <v>26</v>
      </c>
      <c r="F82" s="33" t="s">
        <v>31</v>
      </c>
      <c r="G82" s="34" t="s">
        <v>600</v>
      </c>
      <c r="H82" s="34">
        <v>17</v>
      </c>
      <c r="I82" s="34" t="s">
        <v>591</v>
      </c>
      <c r="J82" s="208">
        <v>44867</v>
      </c>
      <c r="K82" s="209"/>
      <c r="L82" s="34" t="s">
        <v>66</v>
      </c>
      <c r="M82" s="36">
        <v>44889</v>
      </c>
      <c r="N82" s="210"/>
      <c r="O82" s="34">
        <v>1</v>
      </c>
      <c r="P82" s="38"/>
      <c r="Q82" s="34" t="s">
        <v>588</v>
      </c>
      <c r="R82" s="34" t="s">
        <v>588</v>
      </c>
      <c r="S82" s="34">
        <f t="shared" si="19"/>
        <v>3.7075701760979363</v>
      </c>
      <c r="T82" s="211">
        <v>5100</v>
      </c>
      <c r="U82" s="211">
        <f t="shared" si="20"/>
        <v>3.7075701760979363</v>
      </c>
      <c r="V82" s="125"/>
      <c r="W82" s="125"/>
      <c r="X82" s="125"/>
      <c r="Y82" s="125"/>
      <c r="Z82" s="412"/>
      <c r="AA82" s="125"/>
      <c r="AB82" s="125"/>
      <c r="AC82" s="125"/>
      <c r="AD82" s="125"/>
      <c r="AE82" s="101"/>
      <c r="AF82" s="101"/>
      <c r="AG82" s="101"/>
      <c r="AH82" s="101"/>
      <c r="AI82" s="34" t="s">
        <v>29</v>
      </c>
      <c r="AJ82" s="34">
        <v>5</v>
      </c>
      <c r="AK82" s="125"/>
      <c r="AL82" s="52"/>
      <c r="AM82" s="34" t="s">
        <v>484</v>
      </c>
      <c r="AN82" s="34">
        <v>0</v>
      </c>
      <c r="AO82" s="34">
        <v>3</v>
      </c>
      <c r="AP82" s="34">
        <f t="shared" si="24"/>
        <v>3</v>
      </c>
    </row>
    <row r="83" spans="1:42" ht="15" customHeight="1" x14ac:dyDescent="0.25">
      <c r="A83" s="32" t="s">
        <v>486</v>
      </c>
      <c r="B83" s="32" t="s">
        <v>369</v>
      </c>
      <c r="C83" s="32" t="s">
        <v>589</v>
      </c>
      <c r="D83" s="32" t="s">
        <v>589</v>
      </c>
      <c r="E83" s="48" t="s">
        <v>26</v>
      </c>
      <c r="F83" s="33" t="s">
        <v>31</v>
      </c>
      <c r="G83" s="34" t="s">
        <v>600</v>
      </c>
      <c r="H83" s="34">
        <v>18</v>
      </c>
      <c r="I83" s="34" t="s">
        <v>586</v>
      </c>
      <c r="J83" s="208">
        <v>44867</v>
      </c>
      <c r="K83" s="209"/>
      <c r="L83" s="34" t="s">
        <v>66</v>
      </c>
      <c r="M83" s="36">
        <v>44889</v>
      </c>
      <c r="N83" s="210"/>
      <c r="O83" s="34">
        <v>1</v>
      </c>
      <c r="P83" s="38"/>
      <c r="Q83" s="34" t="s">
        <v>588</v>
      </c>
      <c r="R83" s="34" t="s">
        <v>588</v>
      </c>
      <c r="S83" s="34">
        <f t="shared" si="19"/>
        <v>3.7075701760979363</v>
      </c>
      <c r="T83" s="211">
        <v>5100</v>
      </c>
      <c r="U83" s="211">
        <f t="shared" si="20"/>
        <v>3.7075701760979363</v>
      </c>
      <c r="V83" s="125"/>
      <c r="W83" s="125"/>
      <c r="X83" s="125"/>
      <c r="Y83" s="125"/>
      <c r="Z83" s="412"/>
      <c r="AA83" s="125"/>
      <c r="AB83" s="125"/>
      <c r="AC83" s="125"/>
      <c r="AD83" s="125"/>
      <c r="AE83" s="101"/>
      <c r="AF83" s="101"/>
      <c r="AG83" s="101"/>
      <c r="AH83" s="101"/>
      <c r="AI83" s="34" t="s">
        <v>29</v>
      </c>
      <c r="AJ83" s="34">
        <v>5</v>
      </c>
      <c r="AK83" s="125"/>
      <c r="AL83" s="52"/>
      <c r="AM83" s="34" t="s">
        <v>486</v>
      </c>
      <c r="AN83" s="34">
        <v>0</v>
      </c>
      <c r="AO83" s="34">
        <v>4</v>
      </c>
      <c r="AP83" s="34">
        <f t="shared" si="24"/>
        <v>3</v>
      </c>
    </row>
    <row r="84" spans="1:42" ht="15" customHeight="1" x14ac:dyDescent="0.25">
      <c r="A84" s="32" t="s">
        <v>487</v>
      </c>
      <c r="B84" s="32" t="s">
        <v>369</v>
      </c>
      <c r="C84" s="32" t="s">
        <v>589</v>
      </c>
      <c r="D84" s="32" t="s">
        <v>589</v>
      </c>
      <c r="E84" s="33" t="s">
        <v>31</v>
      </c>
      <c r="F84" s="33" t="s">
        <v>31</v>
      </c>
      <c r="G84" s="34" t="s">
        <v>600</v>
      </c>
      <c r="H84" s="34">
        <v>18</v>
      </c>
      <c r="I84" s="34" t="s">
        <v>586</v>
      </c>
      <c r="J84" s="208">
        <v>44867</v>
      </c>
      <c r="K84" s="209"/>
      <c r="L84" s="34" t="s">
        <v>66</v>
      </c>
      <c r="M84" s="36">
        <v>44889</v>
      </c>
      <c r="N84" s="210"/>
      <c r="O84" s="34">
        <v>1</v>
      </c>
      <c r="P84" s="38"/>
      <c r="Q84" s="34" t="s">
        <v>588</v>
      </c>
      <c r="R84" s="34" t="s">
        <v>588</v>
      </c>
      <c r="S84" s="34">
        <f t="shared" si="19"/>
        <v>3.7075701760979363</v>
      </c>
      <c r="T84" s="211">
        <v>5100</v>
      </c>
      <c r="U84" s="211">
        <f t="shared" si="20"/>
        <v>3.7075701760979363</v>
      </c>
      <c r="V84" s="125"/>
      <c r="W84" s="125"/>
      <c r="X84" s="125"/>
      <c r="Y84" s="125"/>
      <c r="Z84" s="412"/>
      <c r="AA84" s="125"/>
      <c r="AB84" s="125"/>
      <c r="AC84" s="125"/>
      <c r="AD84" s="125"/>
      <c r="AE84" s="101"/>
      <c r="AF84" s="101"/>
      <c r="AG84" s="101"/>
      <c r="AH84" s="101"/>
      <c r="AI84" s="34" t="s">
        <v>29</v>
      </c>
      <c r="AJ84" s="34">
        <v>5</v>
      </c>
      <c r="AK84" s="125"/>
      <c r="AL84" s="52"/>
      <c r="AM84" s="34" t="s">
        <v>487</v>
      </c>
      <c r="AN84" s="34">
        <v>4</v>
      </c>
      <c r="AO84" s="34">
        <v>3</v>
      </c>
      <c r="AP84" s="34">
        <f t="shared" si="24"/>
        <v>3</v>
      </c>
    </row>
    <row r="85" spans="1:42" ht="15" customHeight="1" x14ac:dyDescent="0.25">
      <c r="A85" s="32" t="s">
        <v>488</v>
      </c>
      <c r="B85" s="32" t="s">
        <v>369</v>
      </c>
      <c r="C85" s="32" t="s">
        <v>589</v>
      </c>
      <c r="D85" s="32" t="s">
        <v>589</v>
      </c>
      <c r="E85" s="48" t="s">
        <v>26</v>
      </c>
      <c r="F85" s="33" t="s">
        <v>31</v>
      </c>
      <c r="G85" s="34" t="s">
        <v>600</v>
      </c>
      <c r="H85" s="34">
        <v>19</v>
      </c>
      <c r="I85" s="34" t="s">
        <v>591</v>
      </c>
      <c r="J85" s="208">
        <v>44867</v>
      </c>
      <c r="K85" s="209"/>
      <c r="L85" s="34" t="s">
        <v>66</v>
      </c>
      <c r="M85" s="36">
        <v>44889</v>
      </c>
      <c r="N85" s="212"/>
      <c r="O85" s="34">
        <v>1</v>
      </c>
      <c r="P85" s="38"/>
      <c r="Q85" s="34" t="s">
        <v>642</v>
      </c>
      <c r="R85" s="34" t="s">
        <v>269</v>
      </c>
      <c r="S85" s="34">
        <f t="shared" si="19"/>
        <v>3.7075701760979363</v>
      </c>
      <c r="T85" s="211">
        <v>5100</v>
      </c>
      <c r="U85" s="211">
        <f t="shared" si="20"/>
        <v>3.7075701760979363</v>
      </c>
      <c r="V85" s="125"/>
      <c r="W85" s="125"/>
      <c r="X85" s="125"/>
      <c r="Y85" s="125"/>
      <c r="Z85" s="412"/>
      <c r="AA85" s="125"/>
      <c r="AB85" s="125"/>
      <c r="AC85" s="125"/>
      <c r="AD85" s="125"/>
      <c r="AE85" s="101"/>
      <c r="AF85" s="101"/>
      <c r="AG85" s="101"/>
      <c r="AH85" s="101"/>
      <c r="AI85" s="34" t="s">
        <v>29</v>
      </c>
      <c r="AJ85" s="34">
        <v>5</v>
      </c>
      <c r="AK85" s="125"/>
      <c r="AL85" s="52"/>
      <c r="AM85" s="34" t="s">
        <v>488</v>
      </c>
      <c r="AN85" s="34">
        <v>0</v>
      </c>
      <c r="AO85" s="34">
        <v>3</v>
      </c>
      <c r="AP85" s="34">
        <f t="shared" si="24"/>
        <v>2</v>
      </c>
    </row>
    <row r="86" spans="1:42" ht="15" customHeight="1" x14ac:dyDescent="0.25">
      <c r="A86" s="32" t="s">
        <v>489</v>
      </c>
      <c r="B86" s="32" t="s">
        <v>369</v>
      </c>
      <c r="C86" s="32" t="s">
        <v>589</v>
      </c>
      <c r="D86" s="32" t="s">
        <v>589</v>
      </c>
      <c r="E86" s="48" t="s">
        <v>26</v>
      </c>
      <c r="F86" s="33" t="s">
        <v>31</v>
      </c>
      <c r="G86" s="34" t="s">
        <v>600</v>
      </c>
      <c r="H86" s="34">
        <v>19</v>
      </c>
      <c r="I86" s="34" t="s">
        <v>591</v>
      </c>
      <c r="J86" s="208">
        <v>44867</v>
      </c>
      <c r="K86" s="209"/>
      <c r="L86" s="34" t="s">
        <v>66</v>
      </c>
      <c r="M86" s="36">
        <v>44889</v>
      </c>
      <c r="N86" s="212"/>
      <c r="O86" s="34">
        <v>1</v>
      </c>
      <c r="P86" s="38"/>
      <c r="Q86" s="34" t="s">
        <v>642</v>
      </c>
      <c r="R86" s="34" t="s">
        <v>269</v>
      </c>
      <c r="S86" s="34">
        <f t="shared" si="19"/>
        <v>3.7075701760979363</v>
      </c>
      <c r="T86" s="211">
        <v>5100</v>
      </c>
      <c r="U86" s="211">
        <f t="shared" si="20"/>
        <v>3.7075701760979363</v>
      </c>
      <c r="V86" s="125"/>
      <c r="W86" s="125"/>
      <c r="X86" s="125"/>
      <c r="Y86" s="125"/>
      <c r="Z86" s="412"/>
      <c r="AA86" s="125"/>
      <c r="AB86" s="125"/>
      <c r="AC86" s="125"/>
      <c r="AD86" s="125"/>
      <c r="AE86" s="101"/>
      <c r="AF86" s="101"/>
      <c r="AG86" s="101"/>
      <c r="AH86" s="101"/>
      <c r="AI86" s="34" t="s">
        <v>29</v>
      </c>
      <c r="AJ86" s="34">
        <v>5</v>
      </c>
      <c r="AK86" s="125"/>
      <c r="AL86" s="52"/>
      <c r="AM86" s="34" t="s">
        <v>489</v>
      </c>
      <c r="AN86" s="34">
        <v>0</v>
      </c>
      <c r="AO86" s="34">
        <v>3</v>
      </c>
      <c r="AP86" s="34">
        <f t="shared" si="24"/>
        <v>1</v>
      </c>
    </row>
    <row r="87" spans="1:42" ht="15" customHeight="1" x14ac:dyDescent="0.25">
      <c r="A87" s="32" t="s">
        <v>490</v>
      </c>
      <c r="B87" s="32" t="s">
        <v>369</v>
      </c>
      <c r="C87" s="32" t="s">
        <v>589</v>
      </c>
      <c r="D87" s="32" t="s">
        <v>589</v>
      </c>
      <c r="E87" s="48" t="s">
        <v>26</v>
      </c>
      <c r="F87" s="33" t="s">
        <v>31</v>
      </c>
      <c r="G87" s="34" t="s">
        <v>600</v>
      </c>
      <c r="H87" s="34">
        <v>19</v>
      </c>
      <c r="I87" s="34" t="s">
        <v>591</v>
      </c>
      <c r="J87" s="208">
        <v>44867</v>
      </c>
      <c r="K87" s="209"/>
      <c r="L87" s="34" t="s">
        <v>66</v>
      </c>
      <c r="M87" s="36">
        <v>44889</v>
      </c>
      <c r="N87" s="212"/>
      <c r="O87" s="34">
        <v>1</v>
      </c>
      <c r="P87" s="38"/>
      <c r="Q87" s="34" t="s">
        <v>642</v>
      </c>
      <c r="R87" s="34" t="s">
        <v>269</v>
      </c>
      <c r="S87" s="34">
        <f t="shared" si="19"/>
        <v>3.7075701760979363</v>
      </c>
      <c r="T87" s="211">
        <v>5100</v>
      </c>
      <c r="U87" s="211">
        <f t="shared" si="20"/>
        <v>3.7075701760979363</v>
      </c>
      <c r="V87" s="125"/>
      <c r="W87" s="125"/>
      <c r="X87" s="125"/>
      <c r="Y87" s="125"/>
      <c r="Z87" s="412"/>
      <c r="AA87" s="125"/>
      <c r="AB87" s="125"/>
      <c r="AC87" s="125"/>
      <c r="AD87" s="125"/>
      <c r="AE87" s="101"/>
      <c r="AF87" s="101"/>
      <c r="AG87" s="101"/>
      <c r="AH87" s="101"/>
      <c r="AI87" s="34" t="s">
        <v>29</v>
      </c>
      <c r="AJ87" s="34">
        <v>5</v>
      </c>
      <c r="AK87" s="125"/>
      <c r="AL87" s="52"/>
      <c r="AM87" s="34" t="s">
        <v>490</v>
      </c>
      <c r="AN87" s="34">
        <v>0</v>
      </c>
      <c r="AO87" s="34">
        <v>3</v>
      </c>
      <c r="AP87" s="34">
        <f t="shared" si="24"/>
        <v>3</v>
      </c>
    </row>
    <row r="88" spans="1:42" ht="15" customHeight="1" x14ac:dyDescent="0.25">
      <c r="A88" s="32" t="s">
        <v>491</v>
      </c>
      <c r="B88" s="32" t="s">
        <v>369</v>
      </c>
      <c r="C88" s="32" t="s">
        <v>589</v>
      </c>
      <c r="D88" s="32" t="s">
        <v>589</v>
      </c>
      <c r="E88" s="48" t="s">
        <v>26</v>
      </c>
      <c r="F88" s="33" t="s">
        <v>31</v>
      </c>
      <c r="G88" s="34" t="s">
        <v>600</v>
      </c>
      <c r="H88" s="34">
        <v>18</v>
      </c>
      <c r="I88" s="34" t="s">
        <v>586</v>
      </c>
      <c r="J88" s="208">
        <v>44867</v>
      </c>
      <c r="K88" s="209"/>
      <c r="L88" s="34" t="s">
        <v>66</v>
      </c>
      <c r="M88" s="36">
        <v>44889</v>
      </c>
      <c r="N88" s="212"/>
      <c r="O88" s="34">
        <v>1</v>
      </c>
      <c r="P88" s="38"/>
      <c r="Q88" s="34" t="s">
        <v>642</v>
      </c>
      <c r="R88" s="34" t="s">
        <v>269</v>
      </c>
      <c r="S88" s="34">
        <f t="shared" si="19"/>
        <v>3.7075701760979363</v>
      </c>
      <c r="T88" s="211">
        <v>5100</v>
      </c>
      <c r="U88" s="211">
        <f t="shared" si="20"/>
        <v>3.7075701760979363</v>
      </c>
      <c r="V88" s="125"/>
      <c r="W88" s="125"/>
      <c r="X88" s="125"/>
      <c r="Y88" s="125"/>
      <c r="Z88" s="412"/>
      <c r="AA88" s="125"/>
      <c r="AB88" s="125"/>
      <c r="AC88" s="125"/>
      <c r="AD88" s="125"/>
      <c r="AE88" s="101"/>
      <c r="AF88" s="101"/>
      <c r="AG88" s="101"/>
      <c r="AH88" s="101"/>
      <c r="AI88" s="34" t="s">
        <v>29</v>
      </c>
      <c r="AJ88" s="34">
        <v>5</v>
      </c>
      <c r="AK88" s="125"/>
      <c r="AL88" s="52"/>
      <c r="AM88" s="34" t="s">
        <v>491</v>
      </c>
      <c r="AN88" s="34">
        <v>0</v>
      </c>
      <c r="AO88" s="34">
        <v>3</v>
      </c>
      <c r="AP88" s="34">
        <f t="shared" si="24"/>
        <v>4</v>
      </c>
    </row>
    <row r="89" spans="1:42" ht="15" customHeight="1" x14ac:dyDescent="0.25">
      <c r="A89" s="32" t="s">
        <v>492</v>
      </c>
      <c r="B89" s="32" t="s">
        <v>369</v>
      </c>
      <c r="C89" s="32" t="s">
        <v>589</v>
      </c>
      <c r="D89" s="32" t="s">
        <v>589</v>
      </c>
      <c r="E89" s="48" t="s">
        <v>26</v>
      </c>
      <c r="F89" s="33" t="s">
        <v>31</v>
      </c>
      <c r="G89" s="34" t="s">
        <v>600</v>
      </c>
      <c r="H89" s="34">
        <v>18</v>
      </c>
      <c r="I89" s="34" t="s">
        <v>586</v>
      </c>
      <c r="J89" s="208">
        <v>44867</v>
      </c>
      <c r="K89" s="209"/>
      <c r="L89" s="34" t="s">
        <v>66</v>
      </c>
      <c r="M89" s="36">
        <v>44889</v>
      </c>
      <c r="N89" s="212"/>
      <c r="O89" s="34">
        <v>1</v>
      </c>
      <c r="P89" s="38"/>
      <c r="Q89" s="34" t="s">
        <v>642</v>
      </c>
      <c r="R89" s="34" t="s">
        <v>269</v>
      </c>
      <c r="S89" s="34">
        <f t="shared" si="19"/>
        <v>3.7075701760979363</v>
      </c>
      <c r="T89" s="211">
        <v>5100</v>
      </c>
      <c r="U89" s="211">
        <f t="shared" si="20"/>
        <v>3.7075701760979363</v>
      </c>
      <c r="V89" s="125"/>
      <c r="W89" s="125"/>
      <c r="X89" s="125"/>
      <c r="Y89" s="125"/>
      <c r="Z89" s="412"/>
      <c r="AA89" s="125"/>
      <c r="AB89" s="125"/>
      <c r="AC89" s="125"/>
      <c r="AD89" s="125"/>
      <c r="AE89" s="101"/>
      <c r="AF89" s="101"/>
      <c r="AG89" s="101"/>
      <c r="AH89" s="101"/>
      <c r="AI89" s="34" t="s">
        <v>29</v>
      </c>
      <c r="AJ89" s="34">
        <v>5</v>
      </c>
      <c r="AK89" s="125"/>
      <c r="AL89" s="52"/>
      <c r="AM89" s="34" t="s">
        <v>492</v>
      </c>
      <c r="AN89" s="34">
        <v>0</v>
      </c>
      <c r="AO89" s="34">
        <v>3</v>
      </c>
      <c r="AP89" s="34">
        <f t="shared" si="24"/>
        <v>2</v>
      </c>
    </row>
    <row r="90" spans="1:42" ht="15" customHeight="1" x14ac:dyDescent="0.25">
      <c r="A90" s="103" t="s">
        <v>510</v>
      </c>
      <c r="B90" s="103" t="s">
        <v>77</v>
      </c>
      <c r="C90" s="103" t="s">
        <v>584</v>
      </c>
      <c r="D90" s="103" t="s">
        <v>584</v>
      </c>
      <c r="E90" s="141" t="s">
        <v>26</v>
      </c>
      <c r="F90" s="104" t="s">
        <v>31</v>
      </c>
      <c r="G90" s="105" t="s">
        <v>61</v>
      </c>
      <c r="H90" s="105">
        <v>18</v>
      </c>
      <c r="I90" s="105" t="s">
        <v>586</v>
      </c>
      <c r="J90" s="107">
        <v>44370</v>
      </c>
      <c r="K90" s="107">
        <v>44375</v>
      </c>
      <c r="L90" s="105" t="s">
        <v>66</v>
      </c>
      <c r="M90" s="107">
        <v>44592</v>
      </c>
      <c r="N90" s="109">
        <f t="shared" ref="N90:N113" si="25">_xlfn.DAYS(M90,K90)</f>
        <v>217</v>
      </c>
      <c r="O90" s="105">
        <v>1</v>
      </c>
      <c r="P90" s="183" t="s">
        <v>612</v>
      </c>
      <c r="Q90" s="105" t="s">
        <v>588</v>
      </c>
      <c r="R90" s="105" t="s">
        <v>588</v>
      </c>
      <c r="S90" s="105">
        <f t="shared" si="19"/>
        <v>5</v>
      </c>
      <c r="T90" s="258">
        <v>100000</v>
      </c>
      <c r="U90" s="258">
        <f t="shared" si="20"/>
        <v>5</v>
      </c>
      <c r="V90" s="257">
        <v>21</v>
      </c>
      <c r="W90" s="115">
        <v>0</v>
      </c>
      <c r="X90" s="115">
        <v>0</v>
      </c>
      <c r="Y90" s="365">
        <v>12650900.023491239</v>
      </c>
      <c r="Z90" s="430">
        <f t="shared" ref="Z90:Z97" si="26">LOG10(Y90)</f>
        <v>7.1021214236408072</v>
      </c>
      <c r="AA90" s="365">
        <v>5.82818852175052</v>
      </c>
      <c r="AB90" s="365">
        <f>LOG10(AA90)</f>
        <v>0.76553359125028364</v>
      </c>
      <c r="AC90" s="365">
        <v>2602583.5283229598</v>
      </c>
      <c r="AD90" s="365">
        <f t="shared" ref="AD90:AD101" si="27">LOG10(AC90)</f>
        <v>6.4154046768214252</v>
      </c>
      <c r="AE90" s="380">
        <v>0</v>
      </c>
      <c r="AF90" s="257">
        <v>0</v>
      </c>
      <c r="AG90" s="257">
        <v>0</v>
      </c>
      <c r="AH90" s="248">
        <v>0</v>
      </c>
      <c r="AI90" s="257" t="s">
        <v>78</v>
      </c>
      <c r="AJ90" s="257">
        <v>5</v>
      </c>
      <c r="AK90" s="257" t="s">
        <v>30</v>
      </c>
      <c r="AL90" s="397" t="s">
        <v>643</v>
      </c>
      <c r="AM90" s="257" t="s">
        <v>510</v>
      </c>
      <c r="AN90" s="257">
        <v>0</v>
      </c>
      <c r="AO90" s="257">
        <v>2</v>
      </c>
      <c r="AP90" s="105">
        <f t="shared" ref="AP90:AP101" si="28">SUM(AM110,AO110)</f>
        <v>2</v>
      </c>
    </row>
    <row r="91" spans="1:42" ht="15" customHeight="1" x14ac:dyDescent="0.25">
      <c r="A91" s="15" t="s">
        <v>511</v>
      </c>
      <c r="B91" s="15" t="s">
        <v>80</v>
      </c>
      <c r="C91" s="15" t="s">
        <v>584</v>
      </c>
      <c r="D91" s="15" t="s">
        <v>584</v>
      </c>
      <c r="E91" s="16" t="s">
        <v>26</v>
      </c>
      <c r="F91" s="17" t="s">
        <v>31</v>
      </c>
      <c r="G91" s="18" t="s">
        <v>61</v>
      </c>
      <c r="H91" s="18">
        <v>34</v>
      </c>
      <c r="I91" s="18" t="s">
        <v>586</v>
      </c>
      <c r="J91" s="19">
        <v>44582</v>
      </c>
      <c r="K91" s="20">
        <v>44587</v>
      </c>
      <c r="L91" s="18" t="s">
        <v>66</v>
      </c>
      <c r="M91" s="20">
        <v>44592</v>
      </c>
      <c r="N91" s="21">
        <f t="shared" si="25"/>
        <v>5</v>
      </c>
      <c r="O91" s="18">
        <v>1</v>
      </c>
      <c r="P91" s="118" t="s">
        <v>612</v>
      </c>
      <c r="Q91" s="18" t="s">
        <v>81</v>
      </c>
      <c r="R91" s="18" t="s">
        <v>81</v>
      </c>
      <c r="S91" s="18">
        <f t="shared" si="19"/>
        <v>4.9030899869919438</v>
      </c>
      <c r="T91" s="23">
        <v>80000</v>
      </c>
      <c r="U91" s="23">
        <f t="shared" si="20"/>
        <v>4.9030899869919438</v>
      </c>
      <c r="V91" s="24">
        <v>20</v>
      </c>
      <c r="W91" s="25">
        <v>0</v>
      </c>
      <c r="X91" s="25">
        <v>0</v>
      </c>
      <c r="Y91" s="26">
        <v>3069372.1159999999</v>
      </c>
      <c r="Z91" s="420">
        <f t="shared" si="26"/>
        <v>6.487049543410234</v>
      </c>
      <c r="AA91" s="26">
        <v>7.5031978601160096</v>
      </c>
      <c r="AB91" s="26">
        <f>LOG10(AA91)</f>
        <v>0.87524639899229162</v>
      </c>
      <c r="AC91" s="26">
        <v>286876.90600000002</v>
      </c>
      <c r="AD91" s="26">
        <f t="shared" si="27"/>
        <v>5.4576955883280736</v>
      </c>
      <c r="AE91" s="29">
        <v>0</v>
      </c>
      <c r="AF91" s="24">
        <v>0</v>
      </c>
      <c r="AG91" s="24">
        <v>0</v>
      </c>
      <c r="AH91" s="134">
        <v>0</v>
      </c>
      <c r="AI91" s="24" t="s">
        <v>82</v>
      </c>
      <c r="AJ91" s="24">
        <v>5</v>
      </c>
      <c r="AK91" s="24" t="s">
        <v>30</v>
      </c>
      <c r="AL91" s="31"/>
      <c r="AM91" s="134" t="s">
        <v>511</v>
      </c>
      <c r="AN91" s="134">
        <v>0</v>
      </c>
      <c r="AO91" s="134">
        <v>1</v>
      </c>
      <c r="AP91" s="80">
        <f t="shared" si="28"/>
        <v>3</v>
      </c>
    </row>
    <row r="92" spans="1:42" ht="15" customHeight="1" x14ac:dyDescent="0.25">
      <c r="A92" s="32" t="s">
        <v>512</v>
      </c>
      <c r="B92" s="32" t="s">
        <v>80</v>
      </c>
      <c r="C92" s="32" t="s">
        <v>584</v>
      </c>
      <c r="D92" s="32" t="s">
        <v>584</v>
      </c>
      <c r="E92" s="48" t="s">
        <v>26</v>
      </c>
      <c r="F92" s="33" t="s">
        <v>31</v>
      </c>
      <c r="G92" s="34" t="s">
        <v>61</v>
      </c>
      <c r="H92" s="34">
        <v>24</v>
      </c>
      <c r="I92" s="34" t="s">
        <v>586</v>
      </c>
      <c r="J92" s="35">
        <v>44582</v>
      </c>
      <c r="K92" s="36">
        <v>44587</v>
      </c>
      <c r="L92" s="34" t="s">
        <v>66</v>
      </c>
      <c r="M92" s="36">
        <v>44592</v>
      </c>
      <c r="N92" s="37">
        <f t="shared" si="25"/>
        <v>5</v>
      </c>
      <c r="O92" s="34">
        <v>1</v>
      </c>
      <c r="P92" s="38"/>
      <c r="Q92" s="34" t="s">
        <v>81</v>
      </c>
      <c r="R92" s="34" t="s">
        <v>81</v>
      </c>
      <c r="S92" s="34">
        <f t="shared" si="19"/>
        <v>4.9030899869919438</v>
      </c>
      <c r="T92" s="39">
        <v>80000</v>
      </c>
      <c r="U92" s="39">
        <f t="shared" si="20"/>
        <v>4.9030899869919438</v>
      </c>
      <c r="V92" s="40">
        <v>24</v>
      </c>
      <c r="W92" s="53">
        <v>0</v>
      </c>
      <c r="X92" s="53">
        <v>0</v>
      </c>
      <c r="Y92" s="43">
        <v>18199555.920000002</v>
      </c>
      <c r="Z92" s="411">
        <f t="shared" si="26"/>
        <v>7.2600607910704333</v>
      </c>
      <c r="AA92" s="43">
        <v>10.356675855658599</v>
      </c>
      <c r="AB92" s="43">
        <f>LOG10(AA92)</f>
        <v>1.0152203838645737</v>
      </c>
      <c r="AC92" s="43">
        <v>188635.08100000001</v>
      </c>
      <c r="AD92" s="43">
        <f t="shared" si="27"/>
        <v>5.2756224628866688</v>
      </c>
      <c r="AE92" s="46">
        <v>0</v>
      </c>
      <c r="AF92" s="40">
        <v>0</v>
      </c>
      <c r="AG92" s="40">
        <v>0</v>
      </c>
      <c r="AH92" s="40">
        <v>0</v>
      </c>
      <c r="AI92" s="40" t="s">
        <v>82</v>
      </c>
      <c r="AJ92" s="40">
        <v>5</v>
      </c>
      <c r="AK92" s="40" t="s">
        <v>30</v>
      </c>
      <c r="AL92" s="47"/>
      <c r="AM92" s="40" t="s">
        <v>512</v>
      </c>
      <c r="AN92" s="40">
        <v>0</v>
      </c>
      <c r="AO92" s="40">
        <v>3</v>
      </c>
      <c r="AP92" s="34">
        <f t="shared" si="28"/>
        <v>1</v>
      </c>
    </row>
    <row r="93" spans="1:42" ht="15" customHeight="1" x14ac:dyDescent="0.25">
      <c r="A93" s="103" t="s">
        <v>513</v>
      </c>
      <c r="B93" s="103" t="s">
        <v>80</v>
      </c>
      <c r="C93" s="103" t="s">
        <v>589</v>
      </c>
      <c r="D93" s="103" t="s">
        <v>584</v>
      </c>
      <c r="E93" s="104" t="s">
        <v>31</v>
      </c>
      <c r="F93" s="104" t="s">
        <v>31</v>
      </c>
      <c r="G93" s="105" t="s">
        <v>61</v>
      </c>
      <c r="H93" s="105">
        <v>7</v>
      </c>
      <c r="I93" s="105" t="s">
        <v>586</v>
      </c>
      <c r="J93" s="106">
        <v>44582</v>
      </c>
      <c r="K93" s="107">
        <v>44587</v>
      </c>
      <c r="L93" s="105" t="s">
        <v>66</v>
      </c>
      <c r="M93" s="107">
        <v>44592</v>
      </c>
      <c r="N93" s="109">
        <f t="shared" si="25"/>
        <v>5</v>
      </c>
      <c r="O93" s="105">
        <v>1</v>
      </c>
      <c r="P93" s="110"/>
      <c r="Q93" s="105" t="s">
        <v>81</v>
      </c>
      <c r="R93" s="105" t="s">
        <v>81</v>
      </c>
      <c r="S93" s="105">
        <f t="shared" si="19"/>
        <v>4.9030899869919438</v>
      </c>
      <c r="T93" s="258">
        <v>80000</v>
      </c>
      <c r="U93" s="258">
        <f t="shared" si="20"/>
        <v>4.9030899869919438</v>
      </c>
      <c r="V93" s="145">
        <v>21</v>
      </c>
      <c r="W93" s="142">
        <v>0</v>
      </c>
      <c r="X93" s="142">
        <v>0</v>
      </c>
      <c r="Y93" s="75">
        <v>96308888</v>
      </c>
      <c r="Z93" s="419">
        <f t="shared" si="26"/>
        <v>7.9836663684457863</v>
      </c>
      <c r="AA93" s="371"/>
      <c r="AB93" s="371"/>
      <c r="AC93" s="75">
        <v>265827414</v>
      </c>
      <c r="AD93" s="75">
        <f t="shared" si="27"/>
        <v>8.4245997664299015</v>
      </c>
      <c r="AE93" s="72">
        <v>3000000</v>
      </c>
      <c r="AF93" s="75">
        <f>LOG10(AE93)</f>
        <v>6.4771212547196626</v>
      </c>
      <c r="AG93" s="236">
        <v>4.6989700043360187</v>
      </c>
      <c r="AH93" s="75">
        <f>LOG10(AG93)</f>
        <v>0.67200267273248016</v>
      </c>
      <c r="AI93" s="145" t="s">
        <v>29</v>
      </c>
      <c r="AJ93" s="145">
        <v>5</v>
      </c>
      <c r="AK93" s="145" t="s">
        <v>30</v>
      </c>
      <c r="AL93" s="237"/>
      <c r="AM93" s="145" t="s">
        <v>513</v>
      </c>
      <c r="AN93" s="145">
        <v>3</v>
      </c>
      <c r="AO93" s="145">
        <v>4</v>
      </c>
      <c r="AP93" s="105">
        <f t="shared" si="28"/>
        <v>2</v>
      </c>
    </row>
    <row r="94" spans="1:42" ht="15" customHeight="1" x14ac:dyDescent="0.25">
      <c r="A94" s="15" t="s">
        <v>514</v>
      </c>
      <c r="B94" s="15" t="s">
        <v>80</v>
      </c>
      <c r="C94" s="15" t="s">
        <v>589</v>
      </c>
      <c r="D94" s="15" t="s">
        <v>589</v>
      </c>
      <c r="E94" s="17" t="s">
        <v>31</v>
      </c>
      <c r="F94" s="17" t="s">
        <v>31</v>
      </c>
      <c r="G94" s="18" t="s">
        <v>600</v>
      </c>
      <c r="H94" s="18">
        <v>7</v>
      </c>
      <c r="I94" s="18" t="s">
        <v>586</v>
      </c>
      <c r="J94" s="19">
        <v>44582</v>
      </c>
      <c r="K94" s="20">
        <v>44587</v>
      </c>
      <c r="L94" s="18" t="s">
        <v>66</v>
      </c>
      <c r="M94" s="20">
        <v>44592</v>
      </c>
      <c r="N94" s="21">
        <f t="shared" si="25"/>
        <v>5</v>
      </c>
      <c r="O94" s="18">
        <v>1</v>
      </c>
      <c r="P94" s="118"/>
      <c r="Q94" s="18" t="s">
        <v>81</v>
      </c>
      <c r="R94" s="18" t="s">
        <v>81</v>
      </c>
      <c r="S94" s="18">
        <f t="shared" si="19"/>
        <v>4.9030899869919438</v>
      </c>
      <c r="T94" s="23">
        <v>80000</v>
      </c>
      <c r="U94" s="23">
        <f t="shared" si="20"/>
        <v>4.9030899869919438</v>
      </c>
      <c r="V94" s="18">
        <v>12</v>
      </c>
      <c r="W94" s="18">
        <v>2</v>
      </c>
      <c r="X94" s="18" t="s">
        <v>644</v>
      </c>
      <c r="Y94" s="18">
        <v>7.6098181114295071</v>
      </c>
      <c r="Z94" s="422">
        <f t="shared" si="26"/>
        <v>0.88137427646222599</v>
      </c>
      <c r="AA94" s="201"/>
      <c r="AB94" s="201"/>
      <c r="AC94" s="18">
        <v>10.533009022495486</v>
      </c>
      <c r="AD94" s="18">
        <f t="shared" si="27"/>
        <v>1.022552456198526</v>
      </c>
      <c r="AE94" s="18">
        <v>6.0511525224473814</v>
      </c>
      <c r="AF94" s="18">
        <f>LOG10(AE94)</f>
        <v>0.78183809968874163</v>
      </c>
      <c r="AG94" s="18">
        <v>3.8750612633917001</v>
      </c>
      <c r="AH94" s="26">
        <f>LOG10(AG94)</f>
        <v>0.58827857294365504</v>
      </c>
      <c r="AI94" s="18" t="s">
        <v>29</v>
      </c>
      <c r="AJ94" s="18">
        <v>5</v>
      </c>
      <c r="AK94" s="18"/>
      <c r="AL94" s="202"/>
      <c r="AM94" s="18" t="s">
        <v>514</v>
      </c>
      <c r="AN94" s="18">
        <v>3</v>
      </c>
      <c r="AO94" s="18">
        <v>2</v>
      </c>
      <c r="AP94" s="18">
        <f t="shared" si="28"/>
        <v>0</v>
      </c>
    </row>
    <row r="95" spans="1:42" ht="15" customHeight="1" x14ac:dyDescent="0.25">
      <c r="A95" s="32" t="s">
        <v>515</v>
      </c>
      <c r="B95" s="32" t="s">
        <v>80</v>
      </c>
      <c r="C95" s="32" t="s">
        <v>589</v>
      </c>
      <c r="D95" s="32" t="s">
        <v>589</v>
      </c>
      <c r="E95" s="33" t="s">
        <v>31</v>
      </c>
      <c r="F95" s="33" t="s">
        <v>31</v>
      </c>
      <c r="G95" s="34" t="s">
        <v>600</v>
      </c>
      <c r="H95" s="34">
        <v>7</v>
      </c>
      <c r="I95" s="34" t="s">
        <v>586</v>
      </c>
      <c r="J95" s="35">
        <v>44582</v>
      </c>
      <c r="K95" s="36">
        <v>44587</v>
      </c>
      <c r="L95" s="34" t="s">
        <v>66</v>
      </c>
      <c r="M95" s="36">
        <v>44592</v>
      </c>
      <c r="N95" s="37">
        <f t="shared" si="25"/>
        <v>5</v>
      </c>
      <c r="O95" s="34">
        <v>1</v>
      </c>
      <c r="P95" s="97"/>
      <c r="Q95" s="34" t="s">
        <v>81</v>
      </c>
      <c r="R95" s="34" t="s">
        <v>81</v>
      </c>
      <c r="S95" s="34">
        <f t="shared" si="19"/>
        <v>4.9030899869919438</v>
      </c>
      <c r="T95" s="39">
        <v>80000</v>
      </c>
      <c r="U95" s="39">
        <f t="shared" si="20"/>
        <v>4.9030899869919438</v>
      </c>
      <c r="V95" s="34">
        <v>18</v>
      </c>
      <c r="W95" s="34">
        <v>3</v>
      </c>
      <c r="X95" s="34" t="s">
        <v>644</v>
      </c>
      <c r="Y95" s="34">
        <v>7.044685628265956</v>
      </c>
      <c r="Z95" s="415">
        <f t="shared" si="26"/>
        <v>0.84786161732391807</v>
      </c>
      <c r="AA95" s="125"/>
      <c r="AB95" s="125"/>
      <c r="AC95" s="34">
        <v>10.764601995563336</v>
      </c>
      <c r="AD95" s="34">
        <f t="shared" si="27"/>
        <v>1.0319979770925272</v>
      </c>
      <c r="AE95" s="385">
        <v>6.6283889300503116</v>
      </c>
      <c r="AF95" s="34">
        <f>LOG10(AE95)</f>
        <v>0.82140798333496945</v>
      </c>
      <c r="AG95" s="34">
        <v>4.8893017025063106</v>
      </c>
      <c r="AH95" s="43">
        <f>LOG10(AG95)</f>
        <v>0.68924683695517153</v>
      </c>
      <c r="AI95" s="34" t="s">
        <v>29</v>
      </c>
      <c r="AJ95" s="34">
        <v>5</v>
      </c>
      <c r="AK95" s="34"/>
      <c r="AL95" s="52"/>
      <c r="AM95" s="34" t="s">
        <v>515</v>
      </c>
      <c r="AN95" s="34">
        <v>5</v>
      </c>
      <c r="AO95" s="34">
        <v>4</v>
      </c>
      <c r="AP95" s="34">
        <f t="shared" si="28"/>
        <v>0</v>
      </c>
    </row>
    <row r="96" spans="1:42" ht="15" customHeight="1" x14ac:dyDescent="0.25">
      <c r="A96" s="32" t="s">
        <v>516</v>
      </c>
      <c r="B96" s="32" t="s">
        <v>80</v>
      </c>
      <c r="C96" s="32" t="s">
        <v>589</v>
      </c>
      <c r="D96" s="32" t="s">
        <v>589</v>
      </c>
      <c r="E96" s="33" t="s">
        <v>31</v>
      </c>
      <c r="F96" s="33" t="s">
        <v>31</v>
      </c>
      <c r="G96" s="34" t="s">
        <v>600</v>
      </c>
      <c r="H96" s="34">
        <v>7</v>
      </c>
      <c r="I96" s="34" t="s">
        <v>586</v>
      </c>
      <c r="J96" s="35">
        <v>44582</v>
      </c>
      <c r="K96" s="36">
        <v>44587</v>
      </c>
      <c r="L96" s="34" t="s">
        <v>66</v>
      </c>
      <c r="M96" s="36">
        <v>44592</v>
      </c>
      <c r="N96" s="37">
        <f t="shared" si="25"/>
        <v>5</v>
      </c>
      <c r="O96" s="34">
        <v>1</v>
      </c>
      <c r="P96" s="97"/>
      <c r="Q96" s="34" t="s">
        <v>81</v>
      </c>
      <c r="R96" s="34" t="s">
        <v>81</v>
      </c>
      <c r="S96" s="34">
        <f t="shared" si="19"/>
        <v>4.9030899869919438</v>
      </c>
      <c r="T96" s="39">
        <v>80000</v>
      </c>
      <c r="U96" s="39">
        <f t="shared" si="20"/>
        <v>4.9030899869919438</v>
      </c>
      <c r="V96" s="34">
        <v>15</v>
      </c>
      <c r="W96" s="34">
        <v>0</v>
      </c>
      <c r="X96" s="34" t="s">
        <v>645</v>
      </c>
      <c r="Y96" s="34">
        <v>7.215634206428831</v>
      </c>
      <c r="Z96" s="415">
        <f t="shared" si="26"/>
        <v>0.85827450871402233</v>
      </c>
      <c r="AA96" s="125"/>
      <c r="AB96" s="125"/>
      <c r="AC96" s="34">
        <v>9.3966811232755951</v>
      </c>
      <c r="AD96" s="34">
        <f t="shared" si="27"/>
        <v>0.97297448930596486</v>
      </c>
      <c r="AE96" s="34">
        <v>6.6020599913279625</v>
      </c>
      <c r="AF96" s="34">
        <f>LOG10(AE96)</f>
        <v>0.81967946634150923</v>
      </c>
      <c r="AG96" s="34">
        <v>5.0413926851582254</v>
      </c>
      <c r="AH96" s="43">
        <f>LOG10(AG96)</f>
        <v>0.70255052690755415</v>
      </c>
      <c r="AI96" s="34" t="s">
        <v>29</v>
      </c>
      <c r="AJ96" s="34">
        <v>5</v>
      </c>
      <c r="AK96" s="34"/>
      <c r="AL96" s="52"/>
      <c r="AM96" s="34" t="s">
        <v>516</v>
      </c>
      <c r="AN96" s="34">
        <v>4</v>
      </c>
      <c r="AO96" s="34">
        <v>4</v>
      </c>
      <c r="AP96" s="34">
        <f t="shared" si="28"/>
        <v>0</v>
      </c>
    </row>
    <row r="97" spans="1:42" ht="15" customHeight="1" x14ac:dyDescent="0.25">
      <c r="A97" s="32" t="s">
        <v>529</v>
      </c>
      <c r="B97" s="32" t="s">
        <v>306</v>
      </c>
      <c r="C97" s="32" t="s">
        <v>589</v>
      </c>
      <c r="D97" s="32" t="s">
        <v>589</v>
      </c>
      <c r="E97" s="48" t="s">
        <v>26</v>
      </c>
      <c r="F97" s="33" t="s">
        <v>31</v>
      </c>
      <c r="G97" s="49" t="s">
        <v>600</v>
      </c>
      <c r="H97" s="49">
        <v>7</v>
      </c>
      <c r="I97" s="49" t="s">
        <v>591</v>
      </c>
      <c r="J97" s="208">
        <v>44603</v>
      </c>
      <c r="K97" s="239">
        <v>44608</v>
      </c>
      <c r="L97" s="49" t="s">
        <v>66</v>
      </c>
      <c r="M97" s="239">
        <v>44617</v>
      </c>
      <c r="N97" s="37">
        <f t="shared" si="25"/>
        <v>9</v>
      </c>
      <c r="O97" s="49">
        <v>1</v>
      </c>
      <c r="P97" s="240" t="s">
        <v>649</v>
      </c>
      <c r="Q97" s="49" t="s">
        <v>588</v>
      </c>
      <c r="R97" s="49" t="s">
        <v>588</v>
      </c>
      <c r="S97" s="49">
        <f t="shared" si="19"/>
        <v>4</v>
      </c>
      <c r="T97" s="49">
        <v>10000</v>
      </c>
      <c r="U97" s="49">
        <f t="shared" si="20"/>
        <v>4</v>
      </c>
      <c r="V97" s="49">
        <v>3</v>
      </c>
      <c r="W97" s="41">
        <v>0</v>
      </c>
      <c r="X97" s="41" t="s">
        <v>650</v>
      </c>
      <c r="Y97" s="34">
        <v>5.7143238933434244</v>
      </c>
      <c r="Z97" s="415">
        <f t="shared" si="26"/>
        <v>0.75696485297097749</v>
      </c>
      <c r="AA97" s="125"/>
      <c r="AB97" s="125"/>
      <c r="AC97" s="34">
        <v>5.3891204491845981</v>
      </c>
      <c r="AD97" s="34">
        <f t="shared" si="27"/>
        <v>0.73151789037495218</v>
      </c>
      <c r="AE97" s="34">
        <v>0</v>
      </c>
      <c r="AF97" s="34">
        <v>0</v>
      </c>
      <c r="AG97" s="34">
        <v>4.0969100130080562</v>
      </c>
      <c r="AH97" s="43">
        <f>LOG10(AG97)</f>
        <v>0.61245642495308406</v>
      </c>
      <c r="AI97" s="34" t="s">
        <v>29</v>
      </c>
      <c r="AJ97" s="34">
        <v>5</v>
      </c>
      <c r="AK97" s="34"/>
      <c r="AL97" s="52"/>
      <c r="AM97" s="34" t="s">
        <v>529</v>
      </c>
      <c r="AN97" s="34">
        <v>0</v>
      </c>
      <c r="AO97" s="34">
        <v>2</v>
      </c>
      <c r="AP97" s="34">
        <f t="shared" si="28"/>
        <v>0</v>
      </c>
    </row>
    <row r="98" spans="1:42" ht="15" customHeight="1" x14ac:dyDescent="0.25">
      <c r="A98" s="32" t="s">
        <v>530</v>
      </c>
      <c r="B98" s="32" t="s">
        <v>306</v>
      </c>
      <c r="C98" s="32" t="s">
        <v>589</v>
      </c>
      <c r="D98" s="32" t="s">
        <v>589</v>
      </c>
      <c r="E98" s="48" t="s">
        <v>26</v>
      </c>
      <c r="F98" s="48" t="s">
        <v>26</v>
      </c>
      <c r="G98" s="49" t="s">
        <v>600</v>
      </c>
      <c r="H98" s="49">
        <v>15</v>
      </c>
      <c r="I98" s="49" t="s">
        <v>591</v>
      </c>
      <c r="J98" s="208">
        <v>44603</v>
      </c>
      <c r="K98" s="239">
        <v>44608</v>
      </c>
      <c r="L98" s="49" t="s">
        <v>66</v>
      </c>
      <c r="M98" s="239">
        <v>44617</v>
      </c>
      <c r="N98" s="37">
        <f t="shared" si="25"/>
        <v>9</v>
      </c>
      <c r="O98" s="49">
        <v>1</v>
      </c>
      <c r="P98" s="240"/>
      <c r="Q98" s="49" t="s">
        <v>588</v>
      </c>
      <c r="R98" s="49" t="s">
        <v>588</v>
      </c>
      <c r="S98" s="49">
        <f t="shared" ref="S98:S113" si="29">LOG10(T98)</f>
        <v>5</v>
      </c>
      <c r="T98" s="49">
        <v>100000</v>
      </c>
      <c r="U98" s="49">
        <f t="shared" ref="U98:U113" si="30">LOG10(T98)</f>
        <v>5</v>
      </c>
      <c r="V98" s="49">
        <v>0</v>
      </c>
      <c r="W98" s="41">
        <v>0</v>
      </c>
      <c r="X98" s="41" t="s">
        <v>651</v>
      </c>
      <c r="Y98" s="34">
        <v>0</v>
      </c>
      <c r="Z98" s="415"/>
      <c r="AA98" s="125"/>
      <c r="AB98" s="125"/>
      <c r="AC98" s="34">
        <v>4.0015434799107625</v>
      </c>
      <c r="AD98" s="34">
        <f t="shared" si="27"/>
        <v>0.60222754020604319</v>
      </c>
      <c r="AE98" s="34">
        <v>0</v>
      </c>
      <c r="AF98" s="34">
        <v>0</v>
      </c>
      <c r="AG98" s="34">
        <v>0</v>
      </c>
      <c r="AH98" s="34">
        <v>0</v>
      </c>
      <c r="AI98" s="34" t="s">
        <v>29</v>
      </c>
      <c r="AJ98" s="34">
        <v>5</v>
      </c>
      <c r="AK98" s="34"/>
      <c r="AL98" s="52"/>
      <c r="AM98" s="34" t="s">
        <v>530</v>
      </c>
      <c r="AN98" s="34">
        <v>0</v>
      </c>
      <c r="AO98" s="34">
        <v>0</v>
      </c>
      <c r="AP98" s="34">
        <f t="shared" si="28"/>
        <v>0</v>
      </c>
    </row>
    <row r="99" spans="1:42" ht="15" customHeight="1" x14ac:dyDescent="0.25">
      <c r="A99" s="58" t="s">
        <v>531</v>
      </c>
      <c r="B99" s="58" t="s">
        <v>306</v>
      </c>
      <c r="C99" s="58" t="s">
        <v>589</v>
      </c>
      <c r="D99" s="58" t="s">
        <v>589</v>
      </c>
      <c r="E99" s="60" t="s">
        <v>31</v>
      </c>
      <c r="F99" s="60" t="s">
        <v>31</v>
      </c>
      <c r="G99" s="66" t="s">
        <v>600</v>
      </c>
      <c r="H99" s="66">
        <v>21</v>
      </c>
      <c r="I99" s="66" t="s">
        <v>591</v>
      </c>
      <c r="J99" s="343">
        <v>44603</v>
      </c>
      <c r="K99" s="345">
        <v>44608</v>
      </c>
      <c r="L99" s="66" t="s">
        <v>66</v>
      </c>
      <c r="M99" s="345">
        <v>44617</v>
      </c>
      <c r="N99" s="64">
        <f t="shared" si="25"/>
        <v>9</v>
      </c>
      <c r="O99" s="66">
        <v>1</v>
      </c>
      <c r="P99" s="147"/>
      <c r="Q99" s="66" t="s">
        <v>588</v>
      </c>
      <c r="R99" s="66" t="s">
        <v>588</v>
      </c>
      <c r="S99" s="66">
        <f t="shared" si="29"/>
        <v>4</v>
      </c>
      <c r="T99" s="66">
        <v>10000</v>
      </c>
      <c r="U99" s="66">
        <f t="shared" si="30"/>
        <v>4</v>
      </c>
      <c r="V99" s="66">
        <v>32</v>
      </c>
      <c r="W99" s="359">
        <v>1</v>
      </c>
      <c r="X99" s="359" t="s">
        <v>652</v>
      </c>
      <c r="Y99" s="61">
        <v>7.0913828588067727</v>
      </c>
      <c r="Z99" s="429">
        <f>LOG10(Y99)</f>
        <v>0.85073093326320659</v>
      </c>
      <c r="AA99" s="203"/>
      <c r="AB99" s="203"/>
      <c r="AC99" s="61">
        <v>9.6109065710613137</v>
      </c>
      <c r="AD99" s="61">
        <f t="shared" si="27"/>
        <v>0.98276435543541085</v>
      </c>
      <c r="AE99" s="61">
        <v>3.5854607295085006</v>
      </c>
      <c r="AF99" s="61">
        <f>LOG10(AE99)</f>
        <v>0.55454497016470405</v>
      </c>
      <c r="AG99" s="105">
        <v>5.0791812460476251</v>
      </c>
      <c r="AH99" s="61">
        <f>LOG10(AG99)</f>
        <v>0.70579371051592021</v>
      </c>
      <c r="AI99" s="61" t="s">
        <v>29</v>
      </c>
      <c r="AJ99" s="61">
        <v>5</v>
      </c>
      <c r="AK99" s="61"/>
      <c r="AL99" s="204"/>
      <c r="AM99" s="61" t="s">
        <v>531</v>
      </c>
      <c r="AN99" s="61">
        <v>3</v>
      </c>
      <c r="AO99" s="61">
        <v>3</v>
      </c>
      <c r="AP99" s="61">
        <f t="shared" si="28"/>
        <v>0</v>
      </c>
    </row>
    <row r="100" spans="1:42" ht="15" customHeight="1" x14ac:dyDescent="0.25">
      <c r="A100" s="78" t="s">
        <v>532</v>
      </c>
      <c r="B100" s="78" t="s">
        <v>185</v>
      </c>
      <c r="C100" s="78" t="s">
        <v>584</v>
      </c>
      <c r="D100" s="78" t="s">
        <v>584</v>
      </c>
      <c r="E100" s="182" t="s">
        <v>26</v>
      </c>
      <c r="F100" s="182" t="s">
        <v>26</v>
      </c>
      <c r="G100" s="80" t="s">
        <v>600</v>
      </c>
      <c r="H100" s="80">
        <v>10</v>
      </c>
      <c r="I100" s="80" t="s">
        <v>586</v>
      </c>
      <c r="J100" s="81">
        <v>44615</v>
      </c>
      <c r="K100" s="82">
        <v>44641</v>
      </c>
      <c r="L100" s="80" t="s">
        <v>66</v>
      </c>
      <c r="M100" s="82">
        <v>44652</v>
      </c>
      <c r="N100" s="84">
        <f t="shared" si="25"/>
        <v>11</v>
      </c>
      <c r="O100" s="80">
        <v>1</v>
      </c>
      <c r="P100" s="134"/>
      <c r="Q100" s="85" t="s">
        <v>588</v>
      </c>
      <c r="R100" s="85" t="s">
        <v>588</v>
      </c>
      <c r="S100" s="85">
        <f t="shared" si="29"/>
        <v>3.6989700043360187</v>
      </c>
      <c r="T100" s="80">
        <v>5000</v>
      </c>
      <c r="U100" s="80">
        <f t="shared" si="30"/>
        <v>3.6989700043360187</v>
      </c>
      <c r="V100" s="134">
        <v>8</v>
      </c>
      <c r="W100" s="130">
        <v>0</v>
      </c>
      <c r="X100" s="130">
        <v>0</v>
      </c>
      <c r="Y100" s="231">
        <v>10494008</v>
      </c>
      <c r="Z100" s="421">
        <f>LOG10(Y100)</f>
        <v>7.0209413909424168</v>
      </c>
      <c r="AA100" s="231">
        <v>7.4800069429571501</v>
      </c>
      <c r="AB100" s="231">
        <f>LOG10(AA100)</f>
        <v>0.87390200097764037</v>
      </c>
      <c r="AC100" s="255">
        <v>30200000</v>
      </c>
      <c r="AD100" s="255">
        <f t="shared" si="27"/>
        <v>7.480006942957151</v>
      </c>
      <c r="AE100" s="384">
        <v>1</v>
      </c>
      <c r="AF100" s="134">
        <v>0</v>
      </c>
      <c r="AG100" s="25">
        <v>0</v>
      </c>
      <c r="AH100" s="142">
        <v>0</v>
      </c>
      <c r="AI100" s="134" t="s">
        <v>60</v>
      </c>
      <c r="AJ100" s="134">
        <v>5</v>
      </c>
      <c r="AK100" s="134" t="s">
        <v>30</v>
      </c>
      <c r="AL100" s="232"/>
      <c r="AM100" s="130" t="s">
        <v>532</v>
      </c>
      <c r="AN100" s="130">
        <v>0</v>
      </c>
      <c r="AO100" s="130">
        <v>0</v>
      </c>
      <c r="AP100" s="80">
        <f t="shared" si="28"/>
        <v>0</v>
      </c>
    </row>
    <row r="101" spans="1:42" ht="15" customHeight="1" x14ac:dyDescent="0.25">
      <c r="A101" s="32" t="s">
        <v>535</v>
      </c>
      <c r="B101" s="32" t="s">
        <v>185</v>
      </c>
      <c r="C101" s="32" t="s">
        <v>584</v>
      </c>
      <c r="D101" s="32" t="s">
        <v>584</v>
      </c>
      <c r="E101" s="48" t="s">
        <v>26</v>
      </c>
      <c r="F101" s="48" t="s">
        <v>26</v>
      </c>
      <c r="G101" s="34" t="s">
        <v>600</v>
      </c>
      <c r="H101" s="34">
        <v>10</v>
      </c>
      <c r="I101" s="34" t="s">
        <v>586</v>
      </c>
      <c r="J101" s="35">
        <v>44615</v>
      </c>
      <c r="K101" s="36">
        <v>44641</v>
      </c>
      <c r="L101" s="34" t="s">
        <v>66</v>
      </c>
      <c r="M101" s="36">
        <v>44652</v>
      </c>
      <c r="N101" s="37">
        <f t="shared" si="25"/>
        <v>11</v>
      </c>
      <c r="O101" s="34">
        <v>1</v>
      </c>
      <c r="P101" s="243"/>
      <c r="Q101" s="244" t="s">
        <v>588</v>
      </c>
      <c r="R101" s="244" t="s">
        <v>588</v>
      </c>
      <c r="S101" s="244">
        <f t="shared" si="29"/>
        <v>3.6989700043360187</v>
      </c>
      <c r="T101" s="34">
        <v>5000</v>
      </c>
      <c r="U101" s="34">
        <f t="shared" si="30"/>
        <v>3.6989700043360187</v>
      </c>
      <c r="V101" s="40">
        <v>11</v>
      </c>
      <c r="W101" s="53">
        <v>0</v>
      </c>
      <c r="X101" s="53">
        <v>0</v>
      </c>
      <c r="Y101" s="43">
        <v>1</v>
      </c>
      <c r="Z101" s="411">
        <f>LOG10(Y101)</f>
        <v>0</v>
      </c>
      <c r="AA101" s="43">
        <v>7.5587085705331702</v>
      </c>
      <c r="AB101" s="43">
        <f>LOG10(AA101)</f>
        <v>0.87844760124182797</v>
      </c>
      <c r="AC101" s="43">
        <v>1</v>
      </c>
      <c r="AD101" s="43">
        <f t="shared" si="27"/>
        <v>0</v>
      </c>
      <c r="AE101" s="54">
        <v>1</v>
      </c>
      <c r="AF101" s="40">
        <v>0</v>
      </c>
      <c r="AG101" s="53">
        <v>0</v>
      </c>
      <c r="AH101" s="53">
        <v>0</v>
      </c>
      <c r="AI101" s="40" t="s">
        <v>60</v>
      </c>
      <c r="AJ101" s="40">
        <v>5</v>
      </c>
      <c r="AK101" s="40" t="s">
        <v>30</v>
      </c>
      <c r="AL101" s="47"/>
      <c r="AM101" s="53" t="s">
        <v>535</v>
      </c>
      <c r="AN101" s="53">
        <v>0</v>
      </c>
      <c r="AO101" s="53">
        <v>0</v>
      </c>
      <c r="AP101" s="34">
        <f t="shared" si="28"/>
        <v>0</v>
      </c>
    </row>
    <row r="102" spans="1:42" ht="15" customHeight="1" x14ac:dyDescent="0.25">
      <c r="A102" s="32" t="s">
        <v>465</v>
      </c>
      <c r="B102" s="32" t="s">
        <v>42</v>
      </c>
      <c r="C102" s="32" t="s">
        <v>589</v>
      </c>
      <c r="D102" s="32" t="s">
        <v>589</v>
      </c>
      <c r="E102" s="33" t="s">
        <v>31</v>
      </c>
      <c r="F102" s="33" t="s">
        <v>31</v>
      </c>
      <c r="G102" s="49" t="s">
        <v>600</v>
      </c>
      <c r="H102" s="49">
        <v>45</v>
      </c>
      <c r="I102" s="49" t="s">
        <v>586</v>
      </c>
      <c r="J102" s="208">
        <v>44508</v>
      </c>
      <c r="K102" s="239">
        <v>44512</v>
      </c>
      <c r="L102" s="49" t="s">
        <v>66</v>
      </c>
      <c r="M102" s="239">
        <v>44580</v>
      </c>
      <c r="N102" s="37">
        <f t="shared" si="25"/>
        <v>68</v>
      </c>
      <c r="O102" s="49">
        <v>1</v>
      </c>
      <c r="P102" s="97" t="s">
        <v>625</v>
      </c>
      <c r="Q102" s="49" t="s">
        <v>588</v>
      </c>
      <c r="R102" s="49" t="s">
        <v>588</v>
      </c>
      <c r="S102" s="49">
        <f t="shared" si="29"/>
        <v>5</v>
      </c>
      <c r="T102" s="49">
        <v>100000</v>
      </c>
      <c r="U102" s="49">
        <f t="shared" si="30"/>
        <v>5</v>
      </c>
      <c r="V102" s="49">
        <v>14</v>
      </c>
      <c r="W102" s="49">
        <v>1</v>
      </c>
      <c r="X102" s="49" t="s">
        <v>626</v>
      </c>
      <c r="Y102" s="101"/>
      <c r="Z102" s="406"/>
      <c r="AA102" s="101"/>
      <c r="AB102" s="101"/>
      <c r="AC102" s="101"/>
      <c r="AD102" s="101"/>
      <c r="AE102" s="34">
        <v>1.6989700043360187</v>
      </c>
      <c r="AF102" s="49">
        <f>LOG10(AE102)</f>
        <v>0.23018571137855465</v>
      </c>
      <c r="AG102" s="34">
        <v>2.6989700043360187</v>
      </c>
      <c r="AH102" s="49">
        <f t="shared" ref="AH102:AH107" si="31">LOG10(AG102)</f>
        <v>0.4311980579452766</v>
      </c>
      <c r="AI102" s="49" t="s">
        <v>29</v>
      </c>
      <c r="AJ102" s="49">
        <v>4</v>
      </c>
      <c r="AK102" s="125"/>
      <c r="AL102" s="179"/>
      <c r="AM102" s="34" t="s">
        <v>465</v>
      </c>
      <c r="AN102" s="34">
        <v>3</v>
      </c>
      <c r="AO102" s="34">
        <v>4</v>
      </c>
      <c r="AP102" s="34">
        <f t="shared" ref="AP102:AP107" si="32">SUM(AM106,AO106)</f>
        <v>2</v>
      </c>
    </row>
    <row r="103" spans="1:42" ht="15" customHeight="1" x14ac:dyDescent="0.25">
      <c r="A103" s="32" t="s">
        <v>466</v>
      </c>
      <c r="B103" s="32" t="s">
        <v>42</v>
      </c>
      <c r="C103" s="32" t="s">
        <v>589</v>
      </c>
      <c r="D103" s="32" t="s">
        <v>589</v>
      </c>
      <c r="E103" s="33" t="s">
        <v>31</v>
      </c>
      <c r="F103" s="33" t="s">
        <v>31</v>
      </c>
      <c r="G103" s="49" t="s">
        <v>600</v>
      </c>
      <c r="H103" s="49">
        <v>48</v>
      </c>
      <c r="I103" s="49" t="s">
        <v>586</v>
      </c>
      <c r="J103" s="208">
        <v>44508</v>
      </c>
      <c r="K103" s="239">
        <v>44512</v>
      </c>
      <c r="L103" s="49" t="s">
        <v>66</v>
      </c>
      <c r="M103" s="239">
        <v>44580</v>
      </c>
      <c r="N103" s="37">
        <f t="shared" si="25"/>
        <v>68</v>
      </c>
      <c r="O103" s="49">
        <v>1</v>
      </c>
      <c r="P103" s="97"/>
      <c r="Q103" s="49" t="s">
        <v>588</v>
      </c>
      <c r="R103" s="49" t="s">
        <v>588</v>
      </c>
      <c r="S103" s="49">
        <f t="shared" si="29"/>
        <v>5</v>
      </c>
      <c r="T103" s="49">
        <v>100000</v>
      </c>
      <c r="U103" s="49">
        <f t="shared" si="30"/>
        <v>5</v>
      </c>
      <c r="V103" s="49">
        <v>24</v>
      </c>
      <c r="W103" s="49">
        <v>1</v>
      </c>
      <c r="X103" s="49" t="s">
        <v>627</v>
      </c>
      <c r="Y103" s="101"/>
      <c r="Z103" s="406"/>
      <c r="AA103" s="101"/>
      <c r="AB103" s="101"/>
      <c r="AC103" s="101"/>
      <c r="AD103" s="101"/>
      <c r="AE103" s="34">
        <v>3.6989700043360187</v>
      </c>
      <c r="AF103" s="49">
        <f>LOG10(AE103)</f>
        <v>0.56808080955162898</v>
      </c>
      <c r="AG103" s="34">
        <v>1.6989700043360187</v>
      </c>
      <c r="AH103" s="49">
        <f t="shared" si="31"/>
        <v>0.23018571137855465</v>
      </c>
      <c r="AI103" s="49" t="s">
        <v>29</v>
      </c>
      <c r="AJ103" s="49">
        <v>4</v>
      </c>
      <c r="AK103" s="125"/>
      <c r="AL103" s="179"/>
      <c r="AM103" s="34" t="s">
        <v>466</v>
      </c>
      <c r="AN103" s="34">
        <v>3</v>
      </c>
      <c r="AO103" s="34">
        <v>3</v>
      </c>
      <c r="AP103" s="34">
        <f t="shared" si="32"/>
        <v>2</v>
      </c>
    </row>
    <row r="104" spans="1:42" ht="15" customHeight="1" x14ac:dyDescent="0.25">
      <c r="A104" s="32" t="s">
        <v>467</v>
      </c>
      <c r="B104" s="32" t="s">
        <v>176</v>
      </c>
      <c r="C104" s="32" t="s">
        <v>584</v>
      </c>
      <c r="D104" s="32" t="s">
        <v>584</v>
      </c>
      <c r="E104" s="48" t="s">
        <v>26</v>
      </c>
      <c r="F104" s="33" t="s">
        <v>31</v>
      </c>
      <c r="G104" s="34" t="s">
        <v>61</v>
      </c>
      <c r="H104" s="34" t="s">
        <v>596</v>
      </c>
      <c r="I104" s="34" t="s">
        <v>597</v>
      </c>
      <c r="J104" s="35">
        <v>44534</v>
      </c>
      <c r="K104" s="36">
        <v>44537</v>
      </c>
      <c r="L104" s="34" t="s">
        <v>66</v>
      </c>
      <c r="M104" s="36">
        <v>44580</v>
      </c>
      <c r="N104" s="37">
        <f t="shared" si="25"/>
        <v>43</v>
      </c>
      <c r="O104" s="34">
        <v>1</v>
      </c>
      <c r="P104" s="97" t="s">
        <v>628</v>
      </c>
      <c r="Q104" s="34" t="s">
        <v>613</v>
      </c>
      <c r="R104" s="34" t="s">
        <v>588</v>
      </c>
      <c r="S104" s="34">
        <f t="shared" si="29"/>
        <v>3.6989700043360187</v>
      </c>
      <c r="T104" s="55">
        <v>5000</v>
      </c>
      <c r="U104" s="55">
        <f t="shared" si="30"/>
        <v>3.6989700043360187</v>
      </c>
      <c r="V104" s="53">
        <v>12</v>
      </c>
      <c r="W104" s="53">
        <v>0</v>
      </c>
      <c r="X104" s="53">
        <v>0</v>
      </c>
      <c r="Y104" s="56">
        <v>1622665.4903276761</v>
      </c>
      <c r="Z104" s="57">
        <f t="shared" ref="Z104:Z113" si="33">LOG10(Y104)</f>
        <v>6.2102290000000018</v>
      </c>
      <c r="AA104" s="176">
        <v>11.954870222007395</v>
      </c>
      <c r="AB104" s="56">
        <f>LOG10(AA104)</f>
        <v>1.0775448659246516</v>
      </c>
      <c r="AC104" s="55">
        <v>8940000</v>
      </c>
      <c r="AD104" s="55">
        <f t="shared" ref="AD104:AD113" si="34">LOG10(AC104)</f>
        <v>6.9513375187959179</v>
      </c>
      <c r="AE104" s="101"/>
      <c r="AF104" s="177"/>
      <c r="AG104" s="176">
        <v>4.7403626894942441</v>
      </c>
      <c r="AH104" s="49">
        <f t="shared" si="31"/>
        <v>0.675811571214184</v>
      </c>
      <c r="AI104" s="53" t="s">
        <v>29</v>
      </c>
      <c r="AJ104" s="53">
        <v>2</v>
      </c>
      <c r="AK104" s="53" t="s">
        <v>30</v>
      </c>
      <c r="AL104" s="138"/>
      <c r="AM104" s="40" t="s">
        <v>467</v>
      </c>
      <c r="AN104" s="40">
        <v>0</v>
      </c>
      <c r="AO104" s="40">
        <v>3</v>
      </c>
      <c r="AP104" s="34">
        <f t="shared" si="32"/>
        <v>0</v>
      </c>
    </row>
    <row r="105" spans="1:42" ht="15" customHeight="1" x14ac:dyDescent="0.25">
      <c r="A105" s="32" t="s">
        <v>469</v>
      </c>
      <c r="B105" s="32" t="s">
        <v>176</v>
      </c>
      <c r="C105" s="32" t="s">
        <v>584</v>
      </c>
      <c r="D105" s="32" t="s">
        <v>584</v>
      </c>
      <c r="E105" s="48" t="s">
        <v>26</v>
      </c>
      <c r="F105" s="33" t="s">
        <v>31</v>
      </c>
      <c r="G105" s="34" t="s">
        <v>61</v>
      </c>
      <c r="H105" s="34" t="s">
        <v>596</v>
      </c>
      <c r="I105" s="34" t="s">
        <v>597</v>
      </c>
      <c r="J105" s="35">
        <v>44534</v>
      </c>
      <c r="K105" s="36">
        <v>44537</v>
      </c>
      <c r="L105" s="34" t="s">
        <v>66</v>
      </c>
      <c r="M105" s="36">
        <v>44580</v>
      </c>
      <c r="N105" s="37">
        <f t="shared" si="25"/>
        <v>43</v>
      </c>
      <c r="O105" s="34">
        <v>1</v>
      </c>
      <c r="P105" s="97"/>
      <c r="Q105" s="34" t="s">
        <v>588</v>
      </c>
      <c r="R105" s="34" t="s">
        <v>588</v>
      </c>
      <c r="S105" s="34">
        <f t="shared" si="29"/>
        <v>3.6989700043360187</v>
      </c>
      <c r="T105" s="55">
        <v>5000</v>
      </c>
      <c r="U105" s="55">
        <f t="shared" si="30"/>
        <v>3.6989700043360187</v>
      </c>
      <c r="V105" s="53">
        <v>0</v>
      </c>
      <c r="W105" s="53">
        <v>0</v>
      </c>
      <c r="X105" s="53">
        <v>0</v>
      </c>
      <c r="Y105" s="56">
        <v>754760.21583466604</v>
      </c>
      <c r="Z105" s="57">
        <f t="shared" si="33"/>
        <v>5.8778090000000018</v>
      </c>
      <c r="AA105" s="56">
        <v>10.905604539187699</v>
      </c>
      <c r="AB105" s="56">
        <f>LOG10(AA105)</f>
        <v>1.0376497451789244</v>
      </c>
      <c r="AC105" s="55">
        <v>110000000</v>
      </c>
      <c r="AD105" s="55">
        <f t="shared" si="34"/>
        <v>8.0413926851582254</v>
      </c>
      <c r="AE105" s="101"/>
      <c r="AF105" s="177"/>
      <c r="AG105" s="178">
        <v>5.5622928644564746</v>
      </c>
      <c r="AH105" s="49">
        <f t="shared" si="31"/>
        <v>0.74525385149487233</v>
      </c>
      <c r="AI105" s="53" t="s">
        <v>60</v>
      </c>
      <c r="AJ105" s="53">
        <v>2</v>
      </c>
      <c r="AK105" s="53" t="s">
        <v>30</v>
      </c>
      <c r="AL105" s="138"/>
      <c r="AM105" s="40" t="s">
        <v>469</v>
      </c>
      <c r="AN105" s="40">
        <v>0</v>
      </c>
      <c r="AO105" s="40">
        <v>3</v>
      </c>
      <c r="AP105" s="34">
        <f t="shared" si="32"/>
        <v>0</v>
      </c>
    </row>
    <row r="106" spans="1:42" ht="15" customHeight="1" x14ac:dyDescent="0.25">
      <c r="A106" s="32" t="s">
        <v>472</v>
      </c>
      <c r="B106" s="32" t="s">
        <v>176</v>
      </c>
      <c r="C106" s="32" t="s">
        <v>584</v>
      </c>
      <c r="D106" s="32" t="s">
        <v>584</v>
      </c>
      <c r="E106" s="48" t="s">
        <v>26</v>
      </c>
      <c r="F106" s="33" t="s">
        <v>31</v>
      </c>
      <c r="G106" s="34" t="s">
        <v>61</v>
      </c>
      <c r="H106" s="34" t="s">
        <v>596</v>
      </c>
      <c r="I106" s="34" t="s">
        <v>597</v>
      </c>
      <c r="J106" s="35">
        <v>44534</v>
      </c>
      <c r="K106" s="36">
        <v>44537</v>
      </c>
      <c r="L106" s="34" t="s">
        <v>66</v>
      </c>
      <c r="M106" s="36">
        <v>44580</v>
      </c>
      <c r="N106" s="37">
        <f t="shared" si="25"/>
        <v>43</v>
      </c>
      <c r="O106" s="34">
        <v>1</v>
      </c>
      <c r="P106" s="97"/>
      <c r="Q106" s="34" t="s">
        <v>588</v>
      </c>
      <c r="R106" s="34" t="s">
        <v>588</v>
      </c>
      <c r="S106" s="34">
        <f t="shared" si="29"/>
        <v>3.6989700043360187</v>
      </c>
      <c r="T106" s="55">
        <v>5000</v>
      </c>
      <c r="U106" s="55">
        <f t="shared" si="30"/>
        <v>3.6989700043360187</v>
      </c>
      <c r="V106" s="53">
        <v>9</v>
      </c>
      <c r="W106" s="53">
        <v>0</v>
      </c>
      <c r="X106" s="53">
        <v>0</v>
      </c>
      <c r="Y106" s="56">
        <v>684047.09046107624</v>
      </c>
      <c r="Z106" s="57">
        <f t="shared" si="33"/>
        <v>5.8350860000000022</v>
      </c>
      <c r="AA106" s="56">
        <v>10.495376751836901</v>
      </c>
      <c r="AB106" s="56">
        <f>LOG10(AA106)</f>
        <v>1.0209980330381931</v>
      </c>
      <c r="AC106" s="55">
        <v>4690000</v>
      </c>
      <c r="AD106" s="55">
        <f t="shared" si="34"/>
        <v>6.6711728427150829</v>
      </c>
      <c r="AE106" s="101"/>
      <c r="AF106" s="177"/>
      <c r="AG106" s="178">
        <v>3.3979400086720375</v>
      </c>
      <c r="AH106" s="55">
        <f t="shared" si="31"/>
        <v>0.53121570704253585</v>
      </c>
      <c r="AI106" s="53" t="s">
        <v>60</v>
      </c>
      <c r="AJ106" s="53">
        <v>2</v>
      </c>
      <c r="AK106" s="53" t="s">
        <v>30</v>
      </c>
      <c r="AL106" s="138"/>
      <c r="AM106" s="40" t="s">
        <v>472</v>
      </c>
      <c r="AN106" s="40">
        <v>0</v>
      </c>
      <c r="AO106" s="40">
        <v>2</v>
      </c>
      <c r="AP106" s="34">
        <f t="shared" si="32"/>
        <v>2</v>
      </c>
    </row>
    <row r="107" spans="1:42" ht="15" customHeight="1" x14ac:dyDescent="0.25">
      <c r="A107" s="32" t="s">
        <v>474</v>
      </c>
      <c r="B107" s="32" t="s">
        <v>176</v>
      </c>
      <c r="C107" s="32" t="s">
        <v>584</v>
      </c>
      <c r="D107" s="32" t="s">
        <v>584</v>
      </c>
      <c r="E107" s="48" t="s">
        <v>26</v>
      </c>
      <c r="F107" s="33" t="s">
        <v>31</v>
      </c>
      <c r="G107" s="34" t="s">
        <v>61</v>
      </c>
      <c r="H107" s="34" t="s">
        <v>596</v>
      </c>
      <c r="I107" s="34" t="s">
        <v>597</v>
      </c>
      <c r="J107" s="35">
        <v>44534</v>
      </c>
      <c r="K107" s="36">
        <v>44537</v>
      </c>
      <c r="L107" s="34" t="s">
        <v>66</v>
      </c>
      <c r="M107" s="36">
        <v>44580</v>
      </c>
      <c r="N107" s="37">
        <f t="shared" si="25"/>
        <v>43</v>
      </c>
      <c r="O107" s="34">
        <v>1</v>
      </c>
      <c r="P107" s="97"/>
      <c r="Q107" s="34" t="s">
        <v>588</v>
      </c>
      <c r="R107" s="34" t="s">
        <v>588</v>
      </c>
      <c r="S107" s="34">
        <f t="shared" si="29"/>
        <v>3.6989700043360187</v>
      </c>
      <c r="T107" s="55">
        <v>5000</v>
      </c>
      <c r="U107" s="55">
        <f t="shared" si="30"/>
        <v>3.6989700043360187</v>
      </c>
      <c r="V107" s="53">
        <v>4</v>
      </c>
      <c r="W107" s="53">
        <v>0</v>
      </c>
      <c r="X107" s="53">
        <v>0</v>
      </c>
      <c r="Y107" s="56">
        <v>1022680.5586331795</v>
      </c>
      <c r="Z107" s="57">
        <f t="shared" si="33"/>
        <v>6.0097400000000016</v>
      </c>
      <c r="AA107" s="56">
        <v>10.9046693725795</v>
      </c>
      <c r="AB107" s="56">
        <f>LOG10(AA107)</f>
        <v>1.0376125023914662</v>
      </c>
      <c r="AC107" s="55">
        <v>715000000</v>
      </c>
      <c r="AD107" s="55">
        <f t="shared" si="34"/>
        <v>8.8543060418010811</v>
      </c>
      <c r="AE107" s="101"/>
      <c r="AF107" s="177"/>
      <c r="AG107" s="178">
        <v>2.9030899869919438</v>
      </c>
      <c r="AH107" s="88">
        <f t="shared" si="31"/>
        <v>0.46286049785314942</v>
      </c>
      <c r="AI107" s="53" t="s">
        <v>60</v>
      </c>
      <c r="AJ107" s="53">
        <v>2</v>
      </c>
      <c r="AK107" s="53" t="s">
        <v>30</v>
      </c>
      <c r="AL107" s="138"/>
      <c r="AM107" s="40" t="s">
        <v>474</v>
      </c>
      <c r="AN107" s="40">
        <v>0</v>
      </c>
      <c r="AO107" s="40">
        <v>2</v>
      </c>
      <c r="AP107" s="34">
        <f t="shared" si="32"/>
        <v>3</v>
      </c>
    </row>
    <row r="108" spans="1:42" ht="15" customHeight="1" x14ac:dyDescent="0.25">
      <c r="A108" s="32" t="s">
        <v>517</v>
      </c>
      <c r="B108" s="32" t="s">
        <v>260</v>
      </c>
      <c r="C108" s="32" t="s">
        <v>584</v>
      </c>
      <c r="D108" s="32" t="s">
        <v>584</v>
      </c>
      <c r="E108" s="48" t="s">
        <v>26</v>
      </c>
      <c r="F108" s="48" t="s">
        <v>26</v>
      </c>
      <c r="G108" s="34" t="s">
        <v>61</v>
      </c>
      <c r="H108" s="34">
        <v>21</v>
      </c>
      <c r="I108" s="34" t="s">
        <v>586</v>
      </c>
      <c r="J108" s="35">
        <v>44583</v>
      </c>
      <c r="K108" s="36">
        <v>44586</v>
      </c>
      <c r="L108" s="34" t="s">
        <v>646</v>
      </c>
      <c r="M108" s="36">
        <v>44592</v>
      </c>
      <c r="N108" s="37">
        <f t="shared" si="25"/>
        <v>6</v>
      </c>
      <c r="O108" s="34">
        <v>1</v>
      </c>
      <c r="P108" s="97" t="s">
        <v>647</v>
      </c>
      <c r="Q108" s="34" t="s">
        <v>588</v>
      </c>
      <c r="R108" s="34" t="s">
        <v>588</v>
      </c>
      <c r="S108" s="34">
        <f t="shared" si="29"/>
        <v>3.6989700043360187</v>
      </c>
      <c r="T108" s="34">
        <v>5000</v>
      </c>
      <c r="U108" s="34">
        <f t="shared" si="30"/>
        <v>3.6989700043360187</v>
      </c>
      <c r="V108" s="40">
        <v>3</v>
      </c>
      <c r="W108" s="53">
        <v>0</v>
      </c>
      <c r="X108" s="53">
        <v>0</v>
      </c>
      <c r="Y108" s="43">
        <v>211374.8</v>
      </c>
      <c r="Z108" s="411">
        <f t="shared" si="33"/>
        <v>5.3250532096823804</v>
      </c>
      <c r="AA108" s="43">
        <v>0</v>
      </c>
      <c r="AB108" s="43">
        <v>0</v>
      </c>
      <c r="AC108" s="43">
        <v>7120.6859999999997</v>
      </c>
      <c r="AD108" s="43">
        <f t="shared" si="34"/>
        <v>3.852521835162583</v>
      </c>
      <c r="AE108" s="45">
        <v>1</v>
      </c>
      <c r="AF108" s="43">
        <f t="shared" ref="AF108:AF113" si="35">LOG10(AE108)</f>
        <v>0</v>
      </c>
      <c r="AG108" s="43">
        <v>0</v>
      </c>
      <c r="AH108" s="43">
        <v>0</v>
      </c>
      <c r="AI108" s="40" t="s">
        <v>60</v>
      </c>
      <c r="AJ108" s="40">
        <v>2</v>
      </c>
      <c r="AK108" s="40" t="s">
        <v>30</v>
      </c>
      <c r="AL108" s="47"/>
      <c r="AM108" s="40" t="s">
        <v>517</v>
      </c>
      <c r="AN108" s="40">
        <v>0</v>
      </c>
      <c r="AO108" s="40">
        <v>0</v>
      </c>
      <c r="AP108" s="34">
        <f t="shared" ref="AP108:AP113" si="36">SUM(AM128,AO128)</f>
        <v>0</v>
      </c>
    </row>
    <row r="109" spans="1:42" ht="15" customHeight="1" x14ac:dyDescent="0.25">
      <c r="A109" s="32" t="s">
        <v>520</v>
      </c>
      <c r="B109" s="32" t="s">
        <v>260</v>
      </c>
      <c r="C109" s="32" t="s">
        <v>584</v>
      </c>
      <c r="D109" s="32" t="s">
        <v>584</v>
      </c>
      <c r="E109" s="48" t="s">
        <v>26</v>
      </c>
      <c r="F109" s="48" t="s">
        <v>26</v>
      </c>
      <c r="G109" s="34" t="s">
        <v>61</v>
      </c>
      <c r="H109" s="34">
        <v>20</v>
      </c>
      <c r="I109" s="34" t="s">
        <v>586</v>
      </c>
      <c r="J109" s="35">
        <v>44583</v>
      </c>
      <c r="K109" s="36">
        <v>44586</v>
      </c>
      <c r="L109" s="34" t="s">
        <v>646</v>
      </c>
      <c r="M109" s="36">
        <v>44592</v>
      </c>
      <c r="N109" s="37">
        <f t="shared" si="25"/>
        <v>6</v>
      </c>
      <c r="O109" s="34">
        <v>1</v>
      </c>
      <c r="P109" s="97"/>
      <c r="Q109" s="34" t="s">
        <v>588</v>
      </c>
      <c r="R109" s="34" t="s">
        <v>588</v>
      </c>
      <c r="S109" s="34">
        <f t="shared" si="29"/>
        <v>3.6989700043360187</v>
      </c>
      <c r="T109" s="34">
        <v>5000</v>
      </c>
      <c r="U109" s="34">
        <f t="shared" si="30"/>
        <v>3.6989700043360187</v>
      </c>
      <c r="V109" s="40">
        <v>1</v>
      </c>
      <c r="W109" s="53">
        <v>0</v>
      </c>
      <c r="X109" s="53">
        <v>0</v>
      </c>
      <c r="Y109" s="43">
        <v>1095666</v>
      </c>
      <c r="Z109" s="411">
        <f t="shared" si="33"/>
        <v>6.0396781851121206</v>
      </c>
      <c r="AA109" s="43">
        <v>4.0692802401107002</v>
      </c>
      <c r="AB109" s="43">
        <f>LOG10(AA109)</f>
        <v>0.60951759954676898</v>
      </c>
      <c r="AC109" s="43">
        <v>6938.2920000000004</v>
      </c>
      <c r="AD109" s="43">
        <f t="shared" si="34"/>
        <v>3.8412525732979375</v>
      </c>
      <c r="AE109" s="45">
        <v>1</v>
      </c>
      <c r="AF109" s="43">
        <f t="shared" si="35"/>
        <v>0</v>
      </c>
      <c r="AG109" s="46">
        <v>3.1986570869544226</v>
      </c>
      <c r="AH109" s="43">
        <f>LOG10(AG109)</f>
        <v>0.50496768390218438</v>
      </c>
      <c r="AI109" s="40" t="s">
        <v>29</v>
      </c>
      <c r="AJ109" s="40">
        <v>2</v>
      </c>
      <c r="AK109" s="40" t="s">
        <v>30</v>
      </c>
      <c r="AL109" s="47"/>
      <c r="AM109" s="40" t="s">
        <v>520</v>
      </c>
      <c r="AN109" s="40">
        <v>0</v>
      </c>
      <c r="AO109" s="40">
        <v>0</v>
      </c>
      <c r="AP109" s="34">
        <f t="shared" si="36"/>
        <v>0</v>
      </c>
    </row>
    <row r="110" spans="1:42" ht="15" customHeight="1" x14ac:dyDescent="0.25">
      <c r="A110" s="32" t="s">
        <v>521</v>
      </c>
      <c r="B110" s="32" t="s">
        <v>260</v>
      </c>
      <c r="C110" s="32" t="s">
        <v>584</v>
      </c>
      <c r="D110" s="32" t="s">
        <v>584</v>
      </c>
      <c r="E110" s="48" t="s">
        <v>26</v>
      </c>
      <c r="F110" s="33" t="s">
        <v>31</v>
      </c>
      <c r="G110" s="34" t="s">
        <v>61</v>
      </c>
      <c r="H110" s="34">
        <v>21</v>
      </c>
      <c r="I110" s="34" t="s">
        <v>586</v>
      </c>
      <c r="J110" s="35">
        <v>44583</v>
      </c>
      <c r="K110" s="36">
        <v>44586</v>
      </c>
      <c r="L110" s="34" t="s">
        <v>646</v>
      </c>
      <c r="M110" s="36">
        <v>44592</v>
      </c>
      <c r="N110" s="37">
        <f t="shared" si="25"/>
        <v>6</v>
      </c>
      <c r="O110" s="34">
        <v>1</v>
      </c>
      <c r="P110" s="97"/>
      <c r="Q110" s="34" t="s">
        <v>81</v>
      </c>
      <c r="R110" s="34" t="s">
        <v>81</v>
      </c>
      <c r="S110" s="34">
        <f t="shared" si="29"/>
        <v>3.6989700043360187</v>
      </c>
      <c r="T110" s="34">
        <v>5000</v>
      </c>
      <c r="U110" s="34">
        <f t="shared" si="30"/>
        <v>3.6989700043360187</v>
      </c>
      <c r="V110" s="40">
        <v>8</v>
      </c>
      <c r="W110" s="53">
        <v>0</v>
      </c>
      <c r="X110" s="53">
        <v>0</v>
      </c>
      <c r="Y110" s="43">
        <v>3969097</v>
      </c>
      <c r="Z110" s="411">
        <f t="shared" si="33"/>
        <v>6.5986917126763691</v>
      </c>
      <c r="AA110" s="43">
        <v>7.2810952782207297</v>
      </c>
      <c r="AB110" s="43">
        <f>LOG10(AA110)</f>
        <v>0.86219671413562027</v>
      </c>
      <c r="AC110" s="43">
        <v>45131.67</v>
      </c>
      <c r="AD110" s="43">
        <f t="shared" si="34"/>
        <v>4.654481403947047</v>
      </c>
      <c r="AE110" s="45">
        <v>1</v>
      </c>
      <c r="AF110" s="43">
        <f t="shared" si="35"/>
        <v>0</v>
      </c>
      <c r="AG110" s="46">
        <v>4.1986570869544222</v>
      </c>
      <c r="AH110" s="43">
        <f>LOG10(AG110)</f>
        <v>0.62311040635386761</v>
      </c>
      <c r="AI110" s="40" t="s">
        <v>60</v>
      </c>
      <c r="AJ110" s="40">
        <v>2</v>
      </c>
      <c r="AK110" s="40" t="s">
        <v>30</v>
      </c>
      <c r="AL110" s="47"/>
      <c r="AM110" s="40" t="s">
        <v>521</v>
      </c>
      <c r="AN110" s="40">
        <v>0</v>
      </c>
      <c r="AO110" s="40">
        <v>2</v>
      </c>
      <c r="AP110" s="34">
        <f t="shared" si="36"/>
        <v>0</v>
      </c>
    </row>
    <row r="111" spans="1:42" ht="15" customHeight="1" x14ac:dyDescent="0.25">
      <c r="A111" s="32" t="s">
        <v>523</v>
      </c>
      <c r="B111" s="32" t="s">
        <v>260</v>
      </c>
      <c r="C111" s="32" t="s">
        <v>584</v>
      </c>
      <c r="D111" s="32" t="s">
        <v>584</v>
      </c>
      <c r="E111" s="48" t="s">
        <v>26</v>
      </c>
      <c r="F111" s="33" t="s">
        <v>31</v>
      </c>
      <c r="G111" s="34" t="s">
        <v>61</v>
      </c>
      <c r="H111" s="34">
        <v>21</v>
      </c>
      <c r="I111" s="34" t="s">
        <v>586</v>
      </c>
      <c r="J111" s="35">
        <v>44583</v>
      </c>
      <c r="K111" s="36">
        <v>44586</v>
      </c>
      <c r="L111" s="34" t="s">
        <v>646</v>
      </c>
      <c r="M111" s="36">
        <v>44592</v>
      </c>
      <c r="N111" s="37">
        <f t="shared" si="25"/>
        <v>6</v>
      </c>
      <c r="O111" s="34">
        <v>1</v>
      </c>
      <c r="P111" s="97"/>
      <c r="Q111" s="34" t="s">
        <v>81</v>
      </c>
      <c r="R111" s="34" t="s">
        <v>81</v>
      </c>
      <c r="S111" s="34">
        <f t="shared" si="29"/>
        <v>3.6989700043360187</v>
      </c>
      <c r="T111" s="34">
        <v>5000</v>
      </c>
      <c r="U111" s="34">
        <f t="shared" si="30"/>
        <v>3.6989700043360187</v>
      </c>
      <c r="V111" s="40">
        <v>16</v>
      </c>
      <c r="W111" s="53">
        <v>0</v>
      </c>
      <c r="X111" s="53">
        <v>0</v>
      </c>
      <c r="Y111" s="43">
        <v>5827100</v>
      </c>
      <c r="Z111" s="411">
        <f t="shared" si="33"/>
        <v>6.765452471166439</v>
      </c>
      <c r="AA111" s="43">
        <v>8.6344772701607297</v>
      </c>
      <c r="AB111" s="43">
        <f>LOG10(AA111)</f>
        <v>0.93623605058252568</v>
      </c>
      <c r="AC111" s="43">
        <v>22049.85</v>
      </c>
      <c r="AD111" s="43">
        <f t="shared" si="34"/>
        <v>4.3434056394095775</v>
      </c>
      <c r="AE111" s="45">
        <v>1</v>
      </c>
      <c r="AF111" s="43">
        <f t="shared" si="35"/>
        <v>0</v>
      </c>
      <c r="AG111" s="46">
        <v>6.9489017609702133</v>
      </c>
      <c r="AH111" s="43">
        <f>LOG10(AG111)</f>
        <v>0.84191617195141444</v>
      </c>
      <c r="AI111" s="40" t="s">
        <v>29</v>
      </c>
      <c r="AJ111" s="40">
        <v>2</v>
      </c>
      <c r="AK111" s="40" t="s">
        <v>30</v>
      </c>
      <c r="AL111" s="47"/>
      <c r="AM111" s="40" t="s">
        <v>523</v>
      </c>
      <c r="AN111" s="40">
        <v>0</v>
      </c>
      <c r="AO111" s="40">
        <v>3</v>
      </c>
      <c r="AP111" s="34">
        <f t="shared" si="36"/>
        <v>0</v>
      </c>
    </row>
    <row r="112" spans="1:42" ht="15" customHeight="1" x14ac:dyDescent="0.25">
      <c r="A112" s="103" t="s">
        <v>526</v>
      </c>
      <c r="B112" s="103" t="s">
        <v>260</v>
      </c>
      <c r="C112" s="103" t="s">
        <v>584</v>
      </c>
      <c r="D112" s="103" t="s">
        <v>584</v>
      </c>
      <c r="E112" s="141" t="s">
        <v>26</v>
      </c>
      <c r="F112" s="104" t="s">
        <v>31</v>
      </c>
      <c r="G112" s="105" t="s">
        <v>61</v>
      </c>
      <c r="H112" s="105">
        <v>22</v>
      </c>
      <c r="I112" s="105" t="s">
        <v>586</v>
      </c>
      <c r="J112" s="106">
        <v>44583</v>
      </c>
      <c r="K112" s="107">
        <v>44586</v>
      </c>
      <c r="L112" s="105" t="s">
        <v>646</v>
      </c>
      <c r="M112" s="107">
        <v>44592</v>
      </c>
      <c r="N112" s="109">
        <f t="shared" si="25"/>
        <v>6</v>
      </c>
      <c r="O112" s="105">
        <v>1</v>
      </c>
      <c r="P112" s="234"/>
      <c r="Q112" s="105" t="s">
        <v>269</v>
      </c>
      <c r="R112" s="105" t="s">
        <v>269</v>
      </c>
      <c r="S112" s="105">
        <f t="shared" si="29"/>
        <v>3.6989700043360187</v>
      </c>
      <c r="T112" s="105">
        <v>5000</v>
      </c>
      <c r="U112" s="105">
        <f t="shared" si="30"/>
        <v>3.6989700043360187</v>
      </c>
      <c r="V112" s="145">
        <v>7</v>
      </c>
      <c r="W112" s="142">
        <v>0</v>
      </c>
      <c r="X112" s="142">
        <v>0</v>
      </c>
      <c r="Y112" s="75">
        <v>4899.0029999999997</v>
      </c>
      <c r="Z112" s="419">
        <f t="shared" si="33"/>
        <v>3.6901077054051052</v>
      </c>
      <c r="AA112" s="75">
        <v>7.4480268674002001</v>
      </c>
      <c r="AB112" s="75">
        <f>LOG10(AA112)</f>
        <v>0.8720412346143448</v>
      </c>
      <c r="AC112" s="75">
        <v>1</v>
      </c>
      <c r="AD112" s="75">
        <f t="shared" si="34"/>
        <v>0</v>
      </c>
      <c r="AE112" s="72">
        <v>1</v>
      </c>
      <c r="AF112" s="75">
        <f t="shared" si="35"/>
        <v>0</v>
      </c>
      <c r="AG112" s="74">
        <v>2.6989700043360187</v>
      </c>
      <c r="AH112" s="75">
        <f>LOG10(AG112)</f>
        <v>0.4311980579452766</v>
      </c>
      <c r="AI112" s="145" t="s">
        <v>60</v>
      </c>
      <c r="AJ112" s="145">
        <v>2</v>
      </c>
      <c r="AK112" s="145" t="s">
        <v>30</v>
      </c>
      <c r="AL112" s="237"/>
      <c r="AM112" s="145" t="s">
        <v>526</v>
      </c>
      <c r="AN112" s="145">
        <v>0</v>
      </c>
      <c r="AO112" s="145">
        <v>1</v>
      </c>
      <c r="AP112" s="34">
        <f t="shared" si="36"/>
        <v>0</v>
      </c>
    </row>
    <row r="113" spans="1:42" ht="15" customHeight="1" x14ac:dyDescent="0.25">
      <c r="A113" s="220" t="s">
        <v>527</v>
      </c>
      <c r="B113" s="220" t="s">
        <v>260</v>
      </c>
      <c r="C113" s="220" t="s">
        <v>584</v>
      </c>
      <c r="D113" s="220" t="s">
        <v>584</v>
      </c>
      <c r="E113" s="221" t="s">
        <v>26</v>
      </c>
      <c r="F113" s="222" t="s">
        <v>31</v>
      </c>
      <c r="G113" s="215" t="s">
        <v>61</v>
      </c>
      <c r="H113" s="215">
        <v>17</v>
      </c>
      <c r="I113" s="215" t="s">
        <v>586</v>
      </c>
      <c r="J113" s="344">
        <v>44583</v>
      </c>
      <c r="K113" s="223">
        <v>44586</v>
      </c>
      <c r="L113" s="215" t="s">
        <v>646</v>
      </c>
      <c r="M113" s="223">
        <v>44592</v>
      </c>
      <c r="N113" s="224">
        <f t="shared" si="25"/>
        <v>6</v>
      </c>
      <c r="O113" s="215">
        <v>1</v>
      </c>
      <c r="P113" s="226"/>
      <c r="Q113" s="215" t="s">
        <v>269</v>
      </c>
      <c r="R113" s="215" t="s">
        <v>269</v>
      </c>
      <c r="S113" s="215">
        <f t="shared" si="29"/>
        <v>3.6989700043360187</v>
      </c>
      <c r="T113" s="215">
        <v>5000</v>
      </c>
      <c r="U113" s="215">
        <f t="shared" si="30"/>
        <v>3.6989700043360187</v>
      </c>
      <c r="V113" s="273">
        <v>1</v>
      </c>
      <c r="W113" s="360">
        <v>0</v>
      </c>
      <c r="X113" s="360">
        <v>0</v>
      </c>
      <c r="Y113" s="263">
        <v>1060.94</v>
      </c>
      <c r="Z113" s="431">
        <f t="shared" si="33"/>
        <v>3.0256908236697404</v>
      </c>
      <c r="AA113" s="263">
        <v>8.4785664955938405</v>
      </c>
      <c r="AB113" s="75">
        <f>LOG10(AA113)</f>
        <v>0.92832243059633657</v>
      </c>
      <c r="AC113" s="263">
        <v>1</v>
      </c>
      <c r="AD113" s="263">
        <f t="shared" si="34"/>
        <v>0</v>
      </c>
      <c r="AE113" s="386">
        <v>1</v>
      </c>
      <c r="AF113" s="263">
        <f t="shared" si="35"/>
        <v>0</v>
      </c>
      <c r="AG113" s="393">
        <v>2.1986570869544226</v>
      </c>
      <c r="AH113" s="263">
        <f>LOG10(AG113)</f>
        <v>0.34215750000362405</v>
      </c>
      <c r="AI113" s="273" t="s">
        <v>29</v>
      </c>
      <c r="AJ113" s="273">
        <v>2</v>
      </c>
      <c r="AK113" s="273" t="s">
        <v>30</v>
      </c>
      <c r="AL113" s="400"/>
      <c r="AM113" s="273" t="s">
        <v>527</v>
      </c>
      <c r="AN113" s="273">
        <v>0</v>
      </c>
      <c r="AO113" s="273">
        <v>2</v>
      </c>
      <c r="AP113" s="196">
        <f t="shared" si="36"/>
        <v>0</v>
      </c>
    </row>
    <row r="114" spans="1:42" x14ac:dyDescent="0.25">
      <c r="AP114" s="215"/>
    </row>
  </sheetData>
  <autoFilter ref="A1:AP113" xr:uid="{6E4374F4-4513-491C-AEC8-03697BD6FF72}"/>
  <pageMargins left="0.7" right="0.7" top="0.78740157499999996" bottom="0.78740157499999996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478 lungs</vt:lpstr>
      <vt:lpstr>lungs to plot</vt:lpstr>
      <vt:lpstr>Slides with more than 1 lung</vt:lpstr>
      <vt:lpstr>Brain Digital</vt:lpstr>
      <vt:lpstr>Brain Available Lab data</vt:lpstr>
      <vt:lpstr>Brain to plot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Grau Roma, Llorenç (VETSUISSE)</dc:creator>
  <cp:keywords/>
  <dc:description/>
  <cp:lastModifiedBy>Botos Rogozsan, Marius Alexandru (VETSUISSE)</cp:lastModifiedBy>
  <cp:revision/>
  <dcterms:created xsi:type="dcterms:W3CDTF">2025-11-18T08:33:49Z</dcterms:created>
  <dcterms:modified xsi:type="dcterms:W3CDTF">2026-03-31T07:29:20Z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2025-11-19T15:36:58Z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c3de022d-896b-4e90-bebe-685ca183e130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